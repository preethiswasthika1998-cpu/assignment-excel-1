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620"/>
  </bookViews>
  <sheets>
    <sheet name="Sheet1" sheetId="1" r:id="rId1"/>
    <sheet name="Splitting and merging data" sheetId="2" r:id="rId2"/>
    <sheet name="Number formatting" sheetId="3" r:id="rId3"/>
    <sheet name="Conditional format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<sst xmlns="http://schemas.openxmlformats.org/spreadsheetml/2006/main" count="227" uniqueCount="114">
  <si>
    <t>Product ID</t>
  </si>
  <si>
    <t>Product Name</t>
  </si>
  <si>
    <t>Brand Name</t>
  </si>
  <si>
    <t>Price ($)</t>
  </si>
  <si>
    <t>Price-replace</t>
  </si>
  <si>
    <t>Quantity</t>
  </si>
  <si>
    <t>Category</t>
  </si>
  <si>
    <t>Missing price information</t>
  </si>
  <si>
    <t>28-JAN-US</t>
  </si>
  <si>
    <t>Laptop</t>
  </si>
  <si>
    <t>Dell</t>
  </si>
  <si>
    <t>Electronics</t>
  </si>
  <si>
    <t>Missing value:</t>
  </si>
  <si>
    <t>15-FEB-US</t>
  </si>
  <si>
    <t>Sneakers</t>
  </si>
  <si>
    <t>Nike</t>
  </si>
  <si>
    <t>Fashion</t>
  </si>
  <si>
    <t>Replace missing value</t>
  </si>
  <si>
    <t>If Isblank function and editing,find&amp;select, go to special and blanks.</t>
  </si>
  <si>
    <t>03-MAR-US</t>
  </si>
  <si>
    <t>Coffee Maker</t>
  </si>
  <si>
    <t>Keurig</t>
  </si>
  <si>
    <t>Kitchen</t>
  </si>
  <si>
    <t>Correcting inconsistent data</t>
  </si>
  <si>
    <t>ctrl and replace</t>
  </si>
  <si>
    <t>11-APR-US</t>
  </si>
  <si>
    <t>Smartphone</t>
  </si>
  <si>
    <t>Samsung</t>
  </si>
  <si>
    <t>Removing duplicate</t>
  </si>
  <si>
    <t>data and remove duplicate</t>
  </si>
  <si>
    <t>22-MAY-US</t>
  </si>
  <si>
    <t>Backpack</t>
  </si>
  <si>
    <t>North Face</t>
  </si>
  <si>
    <t>Splitting and merging data</t>
  </si>
  <si>
    <t>Left function and right function</t>
  </si>
  <si>
    <t>07-JUN-UK</t>
  </si>
  <si>
    <t>Headphones</t>
  </si>
  <si>
    <t>Sony</t>
  </si>
  <si>
    <t>No value</t>
  </si>
  <si>
    <t>Number formatting</t>
  </si>
  <si>
    <t>Home ,number formatting and currency</t>
  </si>
  <si>
    <t>19-JUL-UK</t>
  </si>
  <si>
    <t>T-shirt</t>
  </si>
  <si>
    <t>Adidas</t>
  </si>
  <si>
    <t>Manufacturing date</t>
  </si>
  <si>
    <t>Text function</t>
  </si>
  <si>
    <t>23-AUG-UK</t>
  </si>
  <si>
    <t>Blender</t>
  </si>
  <si>
    <t>Ninja</t>
  </si>
  <si>
    <t>Conditional formatting</t>
  </si>
  <si>
    <t>Home and conditional formatting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</si>
  <si>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</si>
  <si>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</si>
  <si>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</si>
  <si>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</si>
  <si>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</si>
  <si>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</si>
  <si>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</si>
  <si>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</si>
  <si>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</si>
  <si>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</si>
  <si>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</si>
  <si>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</si>
  <si>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</si>
  <si>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</si>
  <si>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</si>
  <si>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</si>
  <si>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</si>
  <si>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</si>
  <si>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</si>
  <si>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</si>
  <si>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</si>
  <si>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</si>
  <si>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</si>
  <si>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</si>
  <si>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</si>
  <si>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</si>
  <si>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</si>
  <si>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</si>
  <si>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</si>
  <si>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</si>
  <si>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</si>
  <si>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</si>
  <si>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</si>
  <si>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</si>
  <si>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</si>
  <si>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</si>
  <si>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</si>
  <si>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</si>
  <si>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</si>
  <si>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</si>
  <si>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</si>
  <si>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</si>
  <si>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</si>
  <si>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</si>
  <si>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</si>
  <si>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</si>
  <si>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</si>
  <si>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</si>
  <si>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</si>
  <si>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</si>
  <si>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</si>
  <si>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</si>
  <si>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</si>
  <si>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</si>
  <si>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</si>
  <si>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</si>
  <si>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</si>
  <si>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</si>
  <si>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</si>
  <si>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</si>
  <si>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</si>
  <si>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Product brand</t>
  </si>
  <si>
    <t>Manufacturing date2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</si>
</sst>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0"/>
      <scheme val="minor"/>
    </font>
    <font>
      <b/>
      <sz val="11"/>
      <color theme="0"/>
      <name val="Calibri"/>
      <charset val="0"/>
      <scheme val="minor"/>
    </font>
    <font>
      <b/>
      <sz val="10"/>
      <color theme="1"/>
      <name val="Arial"/>
      <charset val="0"/>
    </font>
    <font>
      <sz val="10"/>
      <color theme="1"/>
      <name val="Arial"/>
      <charset val="0"/>
    </font>
    <font>
      <b/>
      <sz val="11"/>
      <color theme="1"/>
      <name val="Calibri"/>
      <charset val="0"/>
      <scheme val="minor"/>
    </font>
    <font>
      <sz val="11"/>
      <color theme="1"/>
      <name val="Arial"/>
      <charset val="0"/>
    </font>
    <font>
      <sz val="11"/>
      <color theme="1"/>
      <name val="Arial Rounded MT Bold"/>
      <charset val="0"/>
    </font>
    <font>
      <b/>
      <sz val="11"/>
      <color theme="1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ck">
        <color theme="0"/>
      </bottom>
      <diagonal/>
    </border>
    <border>
      <left/>
      <right style="thin">
        <color theme="4"/>
      </right>
      <top style="thick">
        <color theme="0"/>
      </top>
      <bottom/>
      <diagonal/>
    </border>
    <border>
      <left style="thin">
        <color theme="4"/>
      </left>
      <right/>
      <top style="thick">
        <color theme="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16" applyNumberFormat="0" applyAlignment="0" applyProtection="0">
      <alignment vertical="center"/>
    </xf>
    <xf numFmtId="0" fontId="17" fillId="13" borderId="17" applyNumberFormat="0" applyAlignment="0" applyProtection="0">
      <alignment vertical="center"/>
    </xf>
    <xf numFmtId="0" fontId="18" fillId="13" borderId="16" applyNumberFormat="0" applyAlignment="0" applyProtection="0">
      <alignment vertical="center"/>
    </xf>
    <xf numFmtId="0" fontId="19" fillId="14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4" fillId="0" borderId="20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3" xfId="0" applyFont="1" applyFill="1" applyBorder="1" applyAlignment="1">
      <alignment horizontal="right" wrapText="1"/>
    </xf>
    <xf numFmtId="0" fontId="0" fillId="3" borderId="4" xfId="0" applyFont="1" applyFill="1" applyBorder="1" applyAlignment="1">
      <alignment wrapText="1"/>
    </xf>
    <xf numFmtId="0" fontId="0" fillId="4" borderId="5" xfId="0" applyFont="1" applyFill="1" applyBorder="1" applyAlignment="1">
      <alignment horizontal="right" wrapText="1"/>
    </xf>
    <xf numFmtId="0" fontId="0" fillId="4" borderId="6" xfId="0" applyFont="1" applyFill="1" applyBorder="1" applyAlignment="1">
      <alignment wrapText="1"/>
    </xf>
    <xf numFmtId="0" fontId="0" fillId="3" borderId="5" xfId="0" applyFont="1" applyFill="1" applyBorder="1" applyAlignment="1">
      <alignment horizontal="right" wrapText="1"/>
    </xf>
    <xf numFmtId="0" fontId="0" fillId="3" borderId="6" xfId="0" applyFont="1" applyFill="1" applyBorder="1" applyAlignment="1">
      <alignment wrapText="1"/>
    </xf>
    <xf numFmtId="0" fontId="0" fillId="4" borderId="5" xfId="0" applyFont="1" applyFill="1" applyBorder="1" applyAlignment="1">
      <alignment wrapText="1"/>
    </xf>
    <xf numFmtId="0" fontId="0" fillId="3" borderId="5" xfId="0" applyFont="1" applyFill="1" applyBorder="1" applyAlignment="1">
      <alignment wrapText="1"/>
    </xf>
    <xf numFmtId="0" fontId="0" fillId="4" borderId="7" xfId="0" applyFont="1" applyFill="1" applyBorder="1" applyAlignment="1">
      <alignment horizontal="right" wrapText="1"/>
    </xf>
    <xf numFmtId="0" fontId="0" fillId="4" borderId="8" xfId="0" applyFont="1" applyFill="1" applyBorder="1" applyAlignment="1">
      <alignment wrapText="1"/>
    </xf>
    <xf numFmtId="0" fontId="1" fillId="2" borderId="9" xfId="0" applyFont="1" applyFill="1" applyBorder="1" applyAlignment="1">
      <alignment horizontal="right" wrapText="1"/>
    </xf>
    <xf numFmtId="0" fontId="1" fillId="2" borderId="10" xfId="0" applyFont="1" applyFill="1" applyBorder="1" applyAlignment="1">
      <alignment wrapText="1"/>
    </xf>
    <xf numFmtId="8" fontId="0" fillId="0" borderId="0" xfId="0" applyNumberFormat="1"/>
    <xf numFmtId="8" fontId="2" fillId="5" borderId="11" xfId="0" applyNumberFormat="1" applyFont="1" applyFill="1" applyBorder="1" applyAlignment="1">
      <alignment horizontal="center" wrapText="1"/>
    </xf>
    <xf numFmtId="8" fontId="3" fillId="0" borderId="11" xfId="0" applyNumberFormat="1" applyFont="1" applyBorder="1" applyAlignment="1">
      <alignment horizontal="right" wrapText="1"/>
    </xf>
    <xf numFmtId="0" fontId="0" fillId="0" borderId="0" xfId="0" applyNumberFormat="1"/>
    <xf numFmtId="8" fontId="3" fillId="6" borderId="11" xfId="0" applyNumberFormat="1" applyFont="1" applyFill="1" applyBorder="1" applyAlignment="1">
      <alignment horizontal="right" wrapText="1"/>
    </xf>
    <xf numFmtId="8" fontId="3" fillId="7" borderId="11" xfId="0" applyNumberFormat="1" applyFont="1" applyFill="1" applyBorder="1" applyAlignment="1">
      <alignment wrapText="1"/>
    </xf>
    <xf numFmtId="0" fontId="2" fillId="5" borderId="11" xfId="0" applyFont="1" applyFill="1" applyBorder="1" applyAlignment="1">
      <alignment horizontal="center" wrapText="1"/>
    </xf>
    <xf numFmtId="0" fontId="3" fillId="0" borderId="11" xfId="0" applyFont="1" applyBorder="1" applyAlignment="1">
      <alignment wrapText="1"/>
    </xf>
    <xf numFmtId="0" fontId="3" fillId="6" borderId="11" xfId="0" applyFont="1" applyFill="1" applyBorder="1" applyAlignment="1">
      <alignment wrapText="1"/>
    </xf>
    <xf numFmtId="0" fontId="0" fillId="8" borderId="0" xfId="0" applyFill="1"/>
    <xf numFmtId="0" fontId="4" fillId="9" borderId="0" xfId="0" applyFont="1" applyFill="1"/>
    <xf numFmtId="0" fontId="5" fillId="0" borderId="0" xfId="0" applyFont="1"/>
    <xf numFmtId="0" fontId="3" fillId="0" borderId="11" xfId="0" applyFont="1" applyBorder="1" applyAlignment="1">
      <alignment horizontal="right" wrapText="1"/>
    </xf>
    <xf numFmtId="0" fontId="0" fillId="6" borderId="12" xfId="0" applyFill="1" applyBorder="1"/>
    <xf numFmtId="0" fontId="6" fillId="10" borderId="12" xfId="0" applyFont="1" applyFill="1" applyBorder="1"/>
    <xf numFmtId="0" fontId="4" fillId="10" borderId="12" xfId="0" applyFont="1" applyFill="1" applyBorder="1"/>
    <xf numFmtId="0" fontId="0" fillId="10" borderId="12" xfId="0" applyFill="1" applyBorder="1"/>
    <xf numFmtId="0" fontId="3" fillId="6" borderId="11" xfId="0" applyFont="1" applyFill="1" applyBorder="1" applyAlignment="1">
      <alignment horizontal="right" wrapText="1"/>
    </xf>
    <xf numFmtId="0" fontId="7" fillId="10" borderId="12" xfId="0" applyFont="1" applyFill="1" applyBorder="1"/>
    <xf numFmtId="0" fontId="3" fillId="7" borderId="1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font>
        <name val="Arial"/>
        <scheme val="none"/>
        <charset val="0"/>
        <family val="2"/>
        <b val="0"/>
        <i val="0"/>
        <strike val="0"/>
        <u val="none"/>
        <sz val="10"/>
        <color theme="1"/>
      </font>
      <fill>
        <patternFill patternType="solid">
          <bgColor rgb="FFE0F7FA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diagonal/>
      </border>
    </dxf>
    <dxf>
      <font>
        <name val="Arial"/>
        <scheme val="none"/>
        <charset val="0"/>
        <family val="2"/>
        <b val="0"/>
        <i val="0"/>
        <strike val="0"/>
        <u val="none"/>
        <sz val="10"/>
        <color theme="1"/>
      </font>
      <fill>
        <patternFill patternType="solid">
          <bgColor rgb="FFE0F7FA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diagonal/>
      </border>
    </dxf>
    <dxf>
      <font>
        <name val="Arial"/>
        <scheme val="none"/>
        <charset val="0"/>
        <family val="2"/>
        <b val="0"/>
        <i val="0"/>
        <strike val="0"/>
        <u val="none"/>
        <sz val="10"/>
        <color theme="1"/>
      </font>
      <fill>
        <patternFill patternType="solid">
          <bgColor rgb="FFE0F7FA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diagonal/>
      </border>
    </dxf>
    <dxf>
      <font>
        <name val="Arial"/>
        <scheme val="none"/>
        <charset val="0"/>
        <family val="2"/>
        <b val="0"/>
        <i val="0"/>
        <strike val="0"/>
        <u val="none"/>
        <sz val="10"/>
        <color theme="1"/>
      </font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diagonal/>
      </border>
    </dxf>
    <dxf>
      <font>
        <name val="Arial"/>
        <scheme val="none"/>
        <charset val="0"/>
        <family val="2"/>
        <b val="0"/>
        <i val="0"/>
        <strike val="0"/>
        <u val="none"/>
        <sz val="10"/>
        <color theme="1"/>
      </font>
      <fill>
        <patternFill patternType="solid">
          <bgColor rgb="FFE0F7FA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diagonal/>
      </border>
    </dxf>
    <dxf>
      <font>
        <name val="Arial"/>
        <scheme val="none"/>
        <charset val="0"/>
        <family val="2"/>
        <b val="0"/>
        <i val="0"/>
        <strike val="0"/>
        <u val="none"/>
        <sz val="10"/>
        <color theme="1"/>
      </font>
      <fill>
        <patternFill patternType="solid">
          <bgColor rgb="FFE0F7FA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diagonal/>
      </border>
    </dxf>
    <dxf>
      <font>
        <name val="Arial"/>
        <scheme val="none"/>
        <charset val="0"/>
        <family val="32"/>
        <b val="0"/>
        <i val="0"/>
        <strike val="0"/>
        <u val="none"/>
        <sz val="10"/>
        <color theme="1"/>
      </font>
      <fill>
        <patternFill patternType="solid">
          <bgColor rgb="FFE0F7FA"/>
        </patternFill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0" formatCode="General"/>
    </dxf>
    <dxf>
      <numFmt numFmtId="0" formatCode="General"/>
    </dxf>
    <dxf>
      <numFmt numFmtId="0" formatCode="General"/>
    </dxf>
    <dxf>
      <font>
        <name val="Arial"/>
        <scheme val="none"/>
        <charset val="0"/>
        <family val="32"/>
        <b val="0"/>
        <i val="0"/>
        <strike val="0"/>
        <u val="none"/>
        <sz val="10"/>
        <color theme="1"/>
      </font>
      <numFmt numFmtId="8" formatCode="&quot;$&quot;#,##0.00_);[Red]\(&quot;$&quot;#,##0.00\)"/>
      <fill>
        <patternFill patternType="solid">
          <bgColor rgb="FFE0F7FA"/>
        </patternFill>
      </fill>
      <alignment horizontal="righ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TableStyleMedium2" defaultPivotStyle="PivotStyleLight16">
    <tableStyle name="TableStylePreset2_Accent1" pivot="0" count="7" xr9:uid="{92C47A86-FE51-431D-9334-A9A9FE1DDEBB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TableStylePreset4_Accent1" pivot="0" count="7" xr9:uid="{E80031A0-62FC-435E-9621-CFD856E535BA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</tableStyles>
  <colors>
    <mruColors>
      <color rgb="00FFFFFF"/>
      <color rgb="00FFD966"/>
      <color rgb="004DD0E1"/>
      <color rgb="00000000"/>
      <color rgb="009BC2E6"/>
      <color rgb="00E0F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B1:H32" totalsRowShown="0">
  <autoFilter xmlns:etc="http://www.wps.cn/officeDocument/2017/etCustomData" ref="B1:H32" etc:filterBottomFollowUsedRange="0"/>
  <tableColumns count="7">
    <tableColumn id="1" name="Product Name" dataDxfId="0"/>
    <tableColumn id="2" name="Brand Name" dataDxfId="1"/>
    <tableColumn id="3" name="Price ($)" dataDxfId="2"/>
    <tableColumn id="4" name="Price-replace" dataDxfId="3">
      <calculatedColumnFormula>IF(ISBLANK(D2),"Unknown",D2)</calculatedColumnFormula>
    </tableColumn>
    <tableColumn id="5" name="Quantity" dataDxfId="4"/>
    <tableColumn id="6" name="Category" dataDxfId="5"/>
    <tableColumn id="7" name="Missing price information">
      <calculatedColumnFormula>ISBLANK(D2)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D32" totalsRowShown="0">
  <autoFilter xmlns:etc="http://www.wps.cn/officeDocument/2017/etCustomData" ref="A1:D32" etc:filterBottomFollowUsedRange="0"/>
  <tableColumns count="4">
    <tableColumn id="1" name="Product ID" dataDxfId="6"/>
    <tableColumn id="2" name="Manufacturing date" dataDxfId="7">
      <calculatedColumnFormula>LEFT(Sheet1!A2,6)</calculatedColumnFormula>
    </tableColumn>
    <tableColumn id="3" name="Country code" dataDxfId="8">
      <calculatedColumnFormula>RIGHT(A2,2)</calculatedColumnFormula>
    </tableColumn>
    <tableColumn id="4" name="Product brand" dataDxfId="9">
      <calculatedColumnFormula>Sheet1!C2&amp;" "&amp;Sheet1!B2</calculatedColumnFormula>
    </tableColumn>
  </tableColumns>
  <tableStyleInfo name="TableStylePreset4_Accent1" showFirstColumn="0" showLastColumn="0" showRowStripes="1" showColumnStripes="1"/>
</table>
</file>

<file path=xl/tables/table3.xml><?xml version="1.0" encoding="utf-8"?>
<table xmlns="http://schemas.openxmlformats.org/spreadsheetml/2006/main" id="2" name="Table2" displayName="Table2" ref="A1:C32">
  <autoFilter xmlns:etc="http://www.wps.cn/officeDocument/2017/etCustomData" ref="A1:C32" etc:filterBottomFollowUsedRange="0"/>
  <tableColumns count="3">
    <tableColumn id="1" name="Price ($)" dataDxfId="10" totalsRowLabel="Total"/>
    <tableColumn id="2" name="Manufacturing date" dataDxfId="11">
      <calculatedColumnFormula>LEFT(Sheet1!A2,6)</calculatedColumnFormula>
    </tableColumn>
    <tableColumn id="3" name="Manufacturing date2" dataDxfId="12" totalsRowFunction="count">
      <calculatedColumnFormula>TEXT(B2,"DD-MM-YYYY")</calculatedColumnFormula>
    </tableColumn>
  </tableColumns>
  <tableStyleInfo name="TableStylePreset2_Accent1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topLeftCell="C1" workbookViewId="0">
      <selection activeCell="L9" sqref="L9"/>
    </sheetView>
  </sheetViews>
  <sheetFormatPr defaultColWidth="9" defaultRowHeight="15"/>
  <cols>
    <col min="1" max="1" width="15.4285714285714" customWidth="1"/>
    <col min="2" max="2" width="15.2857142857143" customWidth="1"/>
    <col min="3" max="3" width="12" customWidth="1"/>
    <col min="7" max="7" width="13.7142857142857" customWidth="1"/>
    <col min="8" max="8" width="23.2857142857143" customWidth="1"/>
    <col min="9" max="9" width="1.85714285714286" customWidth="1"/>
    <col min="10" max="10" width="4" customWidth="1"/>
    <col min="11" max="11" width="31.1428571428571" customWidth="1"/>
    <col min="12" max="12" width="39.5714285714286" customWidth="1"/>
  </cols>
  <sheetData>
    <row r="1" ht="26.25" spans="1:1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5" t="s">
        <v>7</v>
      </c>
      <c r="I1" s="26"/>
    </row>
    <row r="2" ht="15.75" spans="1:15">
      <c r="A2" s="22" t="s">
        <v>8</v>
      </c>
      <c r="B2" s="22" t="s">
        <v>9</v>
      </c>
      <c r="C2" s="22" t="s">
        <v>10</v>
      </c>
      <c r="D2" s="27">
        <v>1000</v>
      </c>
      <c r="E2" s="27">
        <f>IF(ISBLANK(D2),"Unknown",D2)</f>
        <v>1000</v>
      </c>
      <c r="F2" s="27">
        <v>30</v>
      </c>
      <c r="G2" s="22" t="s">
        <v>11</v>
      </c>
      <c r="H2" t="b">
        <f>ISBLANK(D2)</f>
        <v>0</v>
      </c>
      <c r="J2" s="28">
        <v>1</v>
      </c>
      <c r="K2" s="29" t="s">
        <v>12</v>
      </c>
      <c r="L2" s="30">
        <f>COUNTBLANK(E2:E32)</f>
        <v>0</v>
      </c>
      <c r="M2" s="31"/>
      <c r="N2" s="31"/>
      <c r="O2" s="31"/>
    </row>
    <row r="3" ht="15.75" spans="1:15">
      <c r="A3" s="23" t="s">
        <v>13</v>
      </c>
      <c r="B3" s="23" t="s">
        <v>14</v>
      </c>
      <c r="C3" s="23" t="s">
        <v>15</v>
      </c>
      <c r="D3" s="32">
        <v>80</v>
      </c>
      <c r="E3" s="27">
        <f t="shared" ref="E3:E32" si="0">IF(ISBLANK(D3),"Unknown",D3)</f>
        <v>80</v>
      </c>
      <c r="F3" s="32">
        <v>15</v>
      </c>
      <c r="G3" s="23" t="s">
        <v>16</v>
      </c>
      <c r="H3" t="b">
        <f t="shared" ref="H3:H32" si="1">ISBLANK(D3)</f>
        <v>0</v>
      </c>
      <c r="J3" s="28">
        <v>2</v>
      </c>
      <c r="K3" s="29" t="s">
        <v>17</v>
      </c>
      <c r="L3" s="30" t="s">
        <v>18</v>
      </c>
      <c r="M3" s="31"/>
      <c r="N3" s="31"/>
      <c r="O3" s="31"/>
    </row>
    <row r="4" ht="15.75" spans="1:15">
      <c r="A4" s="22" t="s">
        <v>19</v>
      </c>
      <c r="B4" s="22" t="s">
        <v>20</v>
      </c>
      <c r="C4" s="22" t="s">
        <v>21</v>
      </c>
      <c r="D4" s="27">
        <v>130</v>
      </c>
      <c r="E4" s="27">
        <f t="shared" si="0"/>
        <v>130</v>
      </c>
      <c r="F4" s="27">
        <v>40</v>
      </c>
      <c r="G4" s="22" t="s">
        <v>22</v>
      </c>
      <c r="H4" t="b">
        <f t="shared" si="1"/>
        <v>0</v>
      </c>
      <c r="J4" s="28">
        <v>3</v>
      </c>
      <c r="K4" s="29" t="s">
        <v>23</v>
      </c>
      <c r="L4" s="30" t="s">
        <v>24</v>
      </c>
      <c r="M4" s="31"/>
      <c r="N4" s="31"/>
      <c r="O4" s="31"/>
    </row>
    <row r="5" ht="15.75" spans="1:15">
      <c r="A5" s="23" t="s">
        <v>25</v>
      </c>
      <c r="B5" s="23" t="s">
        <v>26</v>
      </c>
      <c r="C5" s="23" t="s">
        <v>27</v>
      </c>
      <c r="D5" s="32">
        <v>900</v>
      </c>
      <c r="E5" s="27">
        <f t="shared" si="0"/>
        <v>900</v>
      </c>
      <c r="F5" s="32">
        <v>25</v>
      </c>
      <c r="G5" s="23" t="s">
        <v>11</v>
      </c>
      <c r="H5" t="b">
        <f t="shared" si="1"/>
        <v>0</v>
      </c>
      <c r="J5" s="28">
        <v>4</v>
      </c>
      <c r="K5" s="29" t="s">
        <v>28</v>
      </c>
      <c r="L5" s="30" t="s">
        <v>29</v>
      </c>
      <c r="M5" s="31"/>
      <c r="N5" s="31"/>
      <c r="O5" s="31"/>
    </row>
    <row r="6" ht="15.75" spans="1:15">
      <c r="A6" s="22" t="s">
        <v>30</v>
      </c>
      <c r="B6" s="22" t="s">
        <v>31</v>
      </c>
      <c r="C6" s="22" t="s">
        <v>32</v>
      </c>
      <c r="D6" s="27">
        <v>70</v>
      </c>
      <c r="E6" s="27">
        <f t="shared" si="0"/>
        <v>70</v>
      </c>
      <c r="F6" s="27">
        <v>20</v>
      </c>
      <c r="G6" s="22" t="s">
        <v>16</v>
      </c>
      <c r="H6" t="b">
        <f t="shared" si="1"/>
        <v>0</v>
      </c>
      <c r="J6" s="28">
        <v>5</v>
      </c>
      <c r="K6" s="29" t="s">
        <v>33</v>
      </c>
      <c r="L6" s="33" t="s">
        <v>34</v>
      </c>
      <c r="M6" s="31"/>
      <c r="N6" s="31"/>
      <c r="O6" s="31"/>
    </row>
    <row r="7" ht="15.75" spans="1:15">
      <c r="A7" s="23" t="s">
        <v>35</v>
      </c>
      <c r="B7" s="23" t="s">
        <v>36</v>
      </c>
      <c r="C7" s="23" t="s">
        <v>37</v>
      </c>
      <c r="D7" s="34" t="s">
        <v>38</v>
      </c>
      <c r="E7" s="27" t="str">
        <f t="shared" si="0"/>
        <v>No value</v>
      </c>
      <c r="F7" s="32">
        <v>45</v>
      </c>
      <c r="G7" s="23" t="s">
        <v>11</v>
      </c>
      <c r="H7" t="b">
        <f t="shared" si="1"/>
        <v>0</v>
      </c>
      <c r="J7" s="28">
        <v>6</v>
      </c>
      <c r="K7" s="29" t="s">
        <v>39</v>
      </c>
      <c r="L7" s="30" t="s">
        <v>40</v>
      </c>
      <c r="M7" s="31"/>
      <c r="N7" s="31"/>
      <c r="O7" s="31"/>
    </row>
    <row r="8" ht="15.75" spans="1:15">
      <c r="A8" s="22" t="s">
        <v>41</v>
      </c>
      <c r="B8" s="22" t="s">
        <v>42</v>
      </c>
      <c r="C8" s="22" t="s">
        <v>43</v>
      </c>
      <c r="D8" s="27">
        <v>30</v>
      </c>
      <c r="E8" s="27">
        <f t="shared" si="0"/>
        <v>30</v>
      </c>
      <c r="F8" s="27">
        <v>5</v>
      </c>
      <c r="G8" s="22" t="s">
        <v>16</v>
      </c>
      <c r="H8" t="b">
        <f t="shared" si="1"/>
        <v>0</v>
      </c>
      <c r="J8" s="28">
        <v>7</v>
      </c>
      <c r="K8" s="29" t="s">
        <v>44</v>
      </c>
      <c r="L8" s="30" t="s">
        <v>45</v>
      </c>
      <c r="M8" s="31"/>
      <c r="N8" s="31"/>
      <c r="O8" s="31"/>
    </row>
    <row r="9" ht="15.75" spans="1:15">
      <c r="A9" s="23" t="s">
        <v>46</v>
      </c>
      <c r="B9" s="23" t="s">
        <v>47</v>
      </c>
      <c r="C9" s="23" t="s">
        <v>48</v>
      </c>
      <c r="D9" s="32">
        <v>90</v>
      </c>
      <c r="E9" s="27">
        <f t="shared" si="0"/>
        <v>90</v>
      </c>
      <c r="F9" s="32">
        <v>35</v>
      </c>
      <c r="G9" s="23" t="s">
        <v>22</v>
      </c>
      <c r="H9" t="b">
        <f t="shared" si="1"/>
        <v>0</v>
      </c>
      <c r="J9" s="28">
        <v>8</v>
      </c>
      <c r="K9" s="29" t="s">
        <v>49</v>
      </c>
      <c r="L9" s="30" t="s">
        <v>50</v>
      </c>
      <c r="M9" s="31"/>
      <c r="N9" s="31"/>
      <c r="O9" s="31"/>
    </row>
    <row r="10" ht="15.75" spans="1:15">
      <c r="A10" s="22" t="s">
        <v>51</v>
      </c>
      <c r="B10" s="22" t="s">
        <v>52</v>
      </c>
      <c r="C10" s="22" t="s">
        <v>53</v>
      </c>
      <c r="D10" s="27">
        <v>500</v>
      </c>
      <c r="E10" s="27">
        <f t="shared" si="0"/>
        <v>500</v>
      </c>
      <c r="F10" s="27">
        <v>50</v>
      </c>
      <c r="G10" s="22" t="s">
        <v>11</v>
      </c>
      <c r="H10" t="b">
        <f t="shared" si="1"/>
        <v>0</v>
      </c>
    </row>
    <row r="11" ht="15.75" spans="1:15">
      <c r="A11" s="23" t="s">
        <v>54</v>
      </c>
      <c r="B11" s="23" t="s">
        <v>55</v>
      </c>
      <c r="C11" s="23" t="s">
        <v>56</v>
      </c>
      <c r="D11" s="32">
        <v>130</v>
      </c>
      <c r="E11" s="27">
        <f t="shared" si="0"/>
        <v>130</v>
      </c>
      <c r="F11" s="32">
        <v>10</v>
      </c>
      <c r="G11" s="23" t="s">
        <v>57</v>
      </c>
      <c r="H11" t="b">
        <f t="shared" si="1"/>
        <v>0</v>
      </c>
    </row>
    <row r="12" ht="15.75" spans="1:15">
      <c r="A12" s="22" t="s">
        <v>58</v>
      </c>
      <c r="B12" s="22" t="s">
        <v>9</v>
      </c>
      <c r="C12" s="22" t="s">
        <v>59</v>
      </c>
      <c r="D12" s="27">
        <v>950</v>
      </c>
      <c r="E12" s="27">
        <f t="shared" si="0"/>
        <v>950</v>
      </c>
      <c r="F12" s="27">
        <v>25</v>
      </c>
      <c r="G12" s="22" t="s">
        <v>11</v>
      </c>
      <c r="H12" t="b">
        <f t="shared" si="1"/>
        <v>0</v>
      </c>
    </row>
    <row r="13" ht="15.75" spans="1:15">
      <c r="A13" s="23" t="s">
        <v>60</v>
      </c>
      <c r="B13" s="23" t="s">
        <v>14</v>
      </c>
      <c r="C13" s="23" t="s">
        <v>43</v>
      </c>
      <c r="D13" s="32">
        <v>90</v>
      </c>
      <c r="E13" s="27">
        <f t="shared" si="0"/>
        <v>90</v>
      </c>
      <c r="F13" s="32">
        <v>40</v>
      </c>
      <c r="G13" s="23" t="s">
        <v>16</v>
      </c>
      <c r="H13" t="b">
        <f t="shared" si="1"/>
        <v>0</v>
      </c>
    </row>
    <row r="14" ht="15.75" spans="1:15">
      <c r="A14" s="22" t="s">
        <v>61</v>
      </c>
      <c r="B14" s="22" t="s">
        <v>20</v>
      </c>
      <c r="C14" s="22" t="s">
        <v>62</v>
      </c>
      <c r="D14" s="27">
        <v>120</v>
      </c>
      <c r="E14" s="27">
        <f t="shared" si="0"/>
        <v>120</v>
      </c>
      <c r="F14" s="27">
        <v>35</v>
      </c>
      <c r="G14" s="22" t="s">
        <v>22</v>
      </c>
      <c r="H14" t="b">
        <f t="shared" si="1"/>
        <v>0</v>
      </c>
    </row>
    <row r="15" ht="15.75" spans="1:15">
      <c r="A15" s="23" t="s">
        <v>63</v>
      </c>
      <c r="B15" s="23" t="s">
        <v>64</v>
      </c>
      <c r="C15" s="23" t="s">
        <v>65</v>
      </c>
      <c r="D15" s="32">
        <v>150</v>
      </c>
      <c r="E15" s="27">
        <f t="shared" si="0"/>
        <v>150</v>
      </c>
      <c r="F15" s="32">
        <v>15</v>
      </c>
      <c r="G15" s="23" t="s">
        <v>11</v>
      </c>
      <c r="H15" t="b">
        <f t="shared" si="1"/>
        <v>0</v>
      </c>
    </row>
    <row r="16" ht="15.75" spans="1:15">
      <c r="A16" s="22" t="s">
        <v>66</v>
      </c>
      <c r="B16" s="22" t="s">
        <v>36</v>
      </c>
      <c r="C16" s="22" t="s">
        <v>67</v>
      </c>
      <c r="D16" s="27">
        <v>250</v>
      </c>
      <c r="E16" s="27">
        <f t="shared" si="0"/>
        <v>250</v>
      </c>
      <c r="F16" s="27">
        <v>20</v>
      </c>
      <c r="G16" s="22" t="s">
        <v>11</v>
      </c>
      <c r="H16" t="b">
        <f t="shared" si="1"/>
        <v>0</v>
      </c>
    </row>
    <row r="17" ht="15.75" spans="1:8">
      <c r="A17" s="23" t="s">
        <v>68</v>
      </c>
      <c r="B17" s="23" t="s">
        <v>69</v>
      </c>
      <c r="C17" s="23" t="s">
        <v>70</v>
      </c>
      <c r="D17" s="32">
        <v>50</v>
      </c>
      <c r="E17" s="27">
        <f t="shared" si="0"/>
        <v>50</v>
      </c>
      <c r="F17" s="32">
        <v>35</v>
      </c>
      <c r="G17" s="23" t="s">
        <v>71</v>
      </c>
      <c r="H17" t="b">
        <f t="shared" si="1"/>
        <v>0</v>
      </c>
    </row>
    <row r="18" ht="15.75" spans="1:8">
      <c r="A18" s="22" t="s">
        <v>72</v>
      </c>
      <c r="B18" s="22" t="s">
        <v>64</v>
      </c>
      <c r="C18" s="22" t="s">
        <v>73</v>
      </c>
      <c r="D18" s="27">
        <v>160</v>
      </c>
      <c r="E18" s="27">
        <f t="shared" si="0"/>
        <v>160</v>
      </c>
      <c r="F18" s="27">
        <v>15</v>
      </c>
      <c r="G18" s="22" t="s">
        <v>11</v>
      </c>
      <c r="H18" t="b">
        <f t="shared" si="1"/>
        <v>0</v>
      </c>
    </row>
    <row r="19" ht="15.75" spans="1:8">
      <c r="A19" s="23" t="s">
        <v>74</v>
      </c>
      <c r="B19" s="23" t="s">
        <v>9</v>
      </c>
      <c r="C19" s="23" t="s">
        <v>75</v>
      </c>
      <c r="D19" s="32">
        <v>980</v>
      </c>
      <c r="E19" s="27">
        <f t="shared" si="0"/>
        <v>980</v>
      </c>
      <c r="F19" s="32">
        <v>10</v>
      </c>
      <c r="G19" s="23" t="s">
        <v>11</v>
      </c>
      <c r="H19" t="b">
        <f t="shared" si="1"/>
        <v>0</v>
      </c>
    </row>
    <row r="20" ht="15.75" spans="1:8">
      <c r="A20" s="22" t="s">
        <v>76</v>
      </c>
      <c r="B20" s="22" t="s">
        <v>77</v>
      </c>
      <c r="C20" s="22" t="s">
        <v>78</v>
      </c>
      <c r="D20" s="27">
        <v>150</v>
      </c>
      <c r="E20" s="27">
        <f t="shared" si="0"/>
        <v>150</v>
      </c>
      <c r="F20" s="27">
        <v>15</v>
      </c>
      <c r="G20" s="22" t="s">
        <v>16</v>
      </c>
      <c r="H20" t="b">
        <f t="shared" si="1"/>
        <v>0</v>
      </c>
    </row>
    <row r="21" ht="15.75" spans="1:8">
      <c r="A21" s="23" t="s">
        <v>79</v>
      </c>
      <c r="B21" s="23" t="s">
        <v>80</v>
      </c>
      <c r="C21" s="23" t="s">
        <v>81</v>
      </c>
      <c r="D21" s="34" t="s">
        <v>38</v>
      </c>
      <c r="E21" s="27" t="str">
        <f t="shared" si="0"/>
        <v>No value</v>
      </c>
      <c r="F21" s="32">
        <v>10</v>
      </c>
      <c r="G21" s="23" t="s">
        <v>57</v>
      </c>
      <c r="H21" t="b">
        <f t="shared" si="1"/>
        <v>0</v>
      </c>
    </row>
    <row r="22" ht="15.75" spans="1:8">
      <c r="A22" s="22" t="s">
        <v>82</v>
      </c>
      <c r="B22" s="22" t="s">
        <v>83</v>
      </c>
      <c r="C22" s="22" t="s">
        <v>84</v>
      </c>
      <c r="D22" s="27">
        <v>700</v>
      </c>
      <c r="E22" s="27">
        <f t="shared" si="0"/>
        <v>700</v>
      </c>
      <c r="F22" s="27">
        <v>50</v>
      </c>
      <c r="G22" s="22" t="s">
        <v>11</v>
      </c>
      <c r="H22" t="b">
        <f t="shared" si="1"/>
        <v>0</v>
      </c>
    </row>
    <row r="23" ht="15.75" spans="1:8">
      <c r="A23" s="23" t="s">
        <v>85</v>
      </c>
      <c r="B23" s="23" t="s">
        <v>86</v>
      </c>
      <c r="C23" s="23" t="s">
        <v>87</v>
      </c>
      <c r="D23" s="32">
        <v>80</v>
      </c>
      <c r="E23" s="27">
        <f t="shared" si="0"/>
        <v>80</v>
      </c>
      <c r="F23" s="32">
        <v>20</v>
      </c>
      <c r="G23" s="23" t="s">
        <v>22</v>
      </c>
      <c r="H23" t="b">
        <f t="shared" si="1"/>
        <v>0</v>
      </c>
    </row>
    <row r="24" ht="15.75" spans="1:8">
      <c r="A24" s="22" t="s">
        <v>88</v>
      </c>
      <c r="B24" s="22" t="s">
        <v>89</v>
      </c>
      <c r="C24" s="22" t="s">
        <v>90</v>
      </c>
      <c r="D24" s="27">
        <v>150</v>
      </c>
      <c r="E24" s="27">
        <f t="shared" si="0"/>
        <v>150</v>
      </c>
      <c r="F24" s="27">
        <v>30</v>
      </c>
      <c r="G24" s="22" t="s">
        <v>11</v>
      </c>
      <c r="H24" t="b">
        <f t="shared" si="1"/>
        <v>0</v>
      </c>
    </row>
    <row r="25" ht="15.75" spans="1:8">
      <c r="A25" s="22" t="s">
        <v>91</v>
      </c>
      <c r="B25" s="22" t="s">
        <v>26</v>
      </c>
      <c r="C25" s="22" t="s">
        <v>92</v>
      </c>
      <c r="D25" s="27">
        <v>800</v>
      </c>
      <c r="E25" s="27">
        <f t="shared" si="0"/>
        <v>800</v>
      </c>
      <c r="F25" s="27">
        <v>45</v>
      </c>
      <c r="G25" s="22" t="s">
        <v>11</v>
      </c>
      <c r="H25" t="b">
        <f t="shared" si="1"/>
        <v>0</v>
      </c>
    </row>
    <row r="26" ht="15.75" spans="1:8">
      <c r="A26" s="23" t="s">
        <v>93</v>
      </c>
      <c r="B26" s="23" t="s">
        <v>77</v>
      </c>
      <c r="C26" s="23" t="s">
        <v>94</v>
      </c>
      <c r="D26" s="34" t="s">
        <v>38</v>
      </c>
      <c r="E26" s="27" t="str">
        <f t="shared" si="0"/>
        <v>No value</v>
      </c>
      <c r="F26" s="32">
        <v>25</v>
      </c>
      <c r="G26" s="23" t="s">
        <v>16</v>
      </c>
      <c r="H26" t="b">
        <f t="shared" si="1"/>
        <v>0</v>
      </c>
    </row>
    <row r="27" ht="15.75" spans="1:8">
      <c r="A27" s="22" t="s">
        <v>95</v>
      </c>
      <c r="B27" s="22" t="s">
        <v>47</v>
      </c>
      <c r="C27" s="22" t="s">
        <v>96</v>
      </c>
      <c r="D27" s="27">
        <v>400</v>
      </c>
      <c r="E27" s="27">
        <f t="shared" si="0"/>
        <v>400</v>
      </c>
      <c r="F27" s="27">
        <v>40</v>
      </c>
      <c r="G27" s="22" t="s">
        <v>22</v>
      </c>
      <c r="H27" t="b">
        <f t="shared" si="1"/>
        <v>0</v>
      </c>
    </row>
    <row r="28" ht="15.75" spans="1:8">
      <c r="A28" s="22" t="s">
        <v>97</v>
      </c>
      <c r="B28" s="22" t="s">
        <v>98</v>
      </c>
      <c r="C28" s="22" t="s">
        <v>99</v>
      </c>
      <c r="D28" s="27">
        <v>60</v>
      </c>
      <c r="E28" s="27">
        <f t="shared" si="0"/>
        <v>60</v>
      </c>
      <c r="F28" s="27">
        <v>30</v>
      </c>
      <c r="G28" s="22" t="s">
        <v>16</v>
      </c>
      <c r="H28" t="b">
        <f t="shared" si="1"/>
        <v>0</v>
      </c>
    </row>
    <row r="29" ht="15.75" spans="1:8">
      <c r="A29" s="23" t="s">
        <v>100</v>
      </c>
      <c r="B29" s="23" t="s">
        <v>101</v>
      </c>
      <c r="C29" s="23" t="s">
        <v>102</v>
      </c>
      <c r="D29" s="32">
        <v>40</v>
      </c>
      <c r="E29" s="27">
        <f t="shared" si="0"/>
        <v>40</v>
      </c>
      <c r="F29" s="32">
        <v>10</v>
      </c>
      <c r="G29" s="23" t="s">
        <v>22</v>
      </c>
      <c r="H29" t="b">
        <f t="shared" si="1"/>
        <v>0</v>
      </c>
    </row>
    <row r="30" ht="15.75" spans="1:8">
      <c r="A30" s="22" t="s">
        <v>103</v>
      </c>
      <c r="B30" s="22" t="s">
        <v>89</v>
      </c>
      <c r="C30" s="22" t="s">
        <v>104</v>
      </c>
      <c r="D30" s="27">
        <v>130</v>
      </c>
      <c r="E30" s="27">
        <f t="shared" si="0"/>
        <v>130</v>
      </c>
      <c r="F30" s="27">
        <v>5</v>
      </c>
      <c r="G30" s="22" t="s">
        <v>11</v>
      </c>
      <c r="H30" t="b">
        <f t="shared" si="1"/>
        <v>0</v>
      </c>
    </row>
    <row r="31" ht="15.75" spans="1:8">
      <c r="A31" s="23" t="s">
        <v>105</v>
      </c>
      <c r="B31" s="23" t="s">
        <v>106</v>
      </c>
      <c r="C31" s="23" t="s">
        <v>107</v>
      </c>
      <c r="D31" s="32">
        <v>50</v>
      </c>
      <c r="E31" s="27">
        <f t="shared" si="0"/>
        <v>50</v>
      </c>
      <c r="F31" s="32">
        <v>50</v>
      </c>
      <c r="G31" s="23" t="s">
        <v>16</v>
      </c>
      <c r="H31" t="b">
        <f t="shared" si="1"/>
        <v>0</v>
      </c>
    </row>
    <row r="32" ht="15.75" spans="1:8">
      <c r="A32" s="23" t="s">
        <v>108</v>
      </c>
      <c r="B32" s="23" t="s">
        <v>109</v>
      </c>
      <c r="C32" s="23" t="s">
        <v>110</v>
      </c>
      <c r="D32" s="32">
        <v>100</v>
      </c>
      <c r="E32" s="27">
        <f t="shared" si="0"/>
        <v>100</v>
      </c>
      <c r="F32" s="32">
        <v>20</v>
      </c>
      <c r="G32" s="23" t="s">
        <v>71</v>
      </c>
      <c r="H32" t="b">
        <f t="shared" si="1"/>
        <v>0</v>
      </c>
    </row>
  </sheetData>
  <pageMargins left="0.7" right="0.7" top="0.75" bottom="0.75" header="0.3" footer="0.3"/>
  <pageSetup paperSize="1" orientation="portrait"/>
  <headerFooter/>
  <ignoredErrors>
    <ignoredError sqref="A2:K4 A5:L5 A6:J6 A11:L20 K10:L10 A8:I10 A21:C21 E21:L21 A22:L25 A26:C26 E26:L26 A27:L32 A1 J1:L1 A7:C7 E7:I7" emptyCellReferenc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C2" sqref="C2"/>
    </sheetView>
  </sheetViews>
  <sheetFormatPr defaultColWidth="9.14285714285714" defaultRowHeight="15" outlineLevelCol="5"/>
  <cols>
    <col min="1" max="1" width="15.4285714285714" customWidth="1"/>
    <col min="2" max="2" width="22.4285714285714" customWidth="1"/>
    <col min="3" max="3" width="17.2857142857143" customWidth="1"/>
    <col min="4" max="4" width="25.2857142857143" customWidth="1"/>
  </cols>
  <sheetData>
    <row r="1" ht="15.75" spans="1:6">
      <c r="A1" s="21" t="s">
        <v>0</v>
      </c>
      <c r="B1" t="s">
        <v>44</v>
      </c>
      <c r="C1" t="s">
        <v>111</v>
      </c>
      <c r="D1" t="s">
        <v>112</v>
      </c>
    </row>
    <row r="2" ht="15.75" spans="1:6">
      <c r="A2" s="22" t="s">
        <v>8</v>
      </c>
      <c r="B2" s="18" t="str">
        <f>LEFT(Sheet1!A2,6)</f>
        <v>28-JAN</v>
      </c>
      <c r="C2" s="18" t="str">
        <f t="shared" ref="C2:C32" si="0">RIGHT(A2,2)</f>
        <v>US</v>
      </c>
      <c r="D2" s="18" t="str">
        <f>Sheet1!C2&amp;" "&amp;Sheet1!B2</f>
        <v>Dell Laptop</v>
      </c>
    </row>
    <row r="3" ht="15.75" spans="1:6">
      <c r="A3" s="23" t="s">
        <v>13</v>
      </c>
      <c r="B3" s="18" t="str">
        <f>LEFT(Sheet1!A3,6)</f>
        <v>15-FEB</v>
      </c>
      <c r="C3" s="18" t="str">
        <f t="shared" si="0"/>
        <v>US</v>
      </c>
      <c r="D3" s="18" t="str">
        <f>Sheet1!C3&amp;" "&amp;Sheet1!B3</f>
        <v>Nike Sneakers</v>
      </c>
    </row>
    <row r="4" ht="15.75" spans="1:6">
      <c r="A4" s="22" t="s">
        <v>19</v>
      </c>
      <c r="B4" s="18" t="str">
        <f>LEFT(Sheet1!A4,6)</f>
        <v>03-MAR</v>
      </c>
      <c r="C4" s="18" t="str">
        <f t="shared" si="0"/>
        <v>US</v>
      </c>
      <c r="D4" s="18" t="str">
        <f>Sheet1!C4&amp;" "&amp;Sheet1!B4</f>
        <v>Keurig Coffee Maker</v>
      </c>
    </row>
    <row r="5" ht="15.75" spans="1:6">
      <c r="A5" s="23" t="s">
        <v>25</v>
      </c>
      <c r="B5" s="18" t="str">
        <f>LEFT(Sheet1!A5,6)</f>
        <v>11-APR</v>
      </c>
      <c r="C5" s="18" t="str">
        <f t="shared" si="0"/>
        <v>US</v>
      </c>
      <c r="D5" s="18" t="str">
        <f>Sheet1!C5&amp;" "&amp;Sheet1!B5</f>
        <v>Samsung Smartphone</v>
      </c>
    </row>
    <row r="6" ht="15.75" spans="1:6">
      <c r="A6" s="22" t="s">
        <v>30</v>
      </c>
      <c r="B6" s="18" t="str">
        <f>LEFT(Sheet1!A6,6)</f>
        <v>22-MAY</v>
      </c>
      <c r="C6" s="18" t="str">
        <f t="shared" si="0"/>
        <v>US</v>
      </c>
      <c r="D6" s="18" t="str">
        <f>Sheet1!C6&amp;" "&amp;Sheet1!B6</f>
        <v>North Face Backpack</v>
      </c>
    </row>
    <row r="7" ht="15.75" spans="1:6">
      <c r="A7" s="23" t="s">
        <v>35</v>
      </c>
      <c r="B7" s="18" t="str">
        <f>LEFT(Sheet1!A7,6)</f>
        <v>07-JUN</v>
      </c>
      <c r="C7" s="18" t="str">
        <f t="shared" si="0"/>
        <v>UK</v>
      </c>
      <c r="D7" s="18" t="str">
        <f>Sheet1!C7&amp;" "&amp;Sheet1!B7</f>
        <v>Sony Headphones</v>
      </c>
    </row>
    <row r="8" ht="15.75" spans="1:6">
      <c r="A8" s="22" t="s">
        <v>41</v>
      </c>
      <c r="B8" s="18" t="str">
        <f>LEFT(Sheet1!A8,6)</f>
        <v>19-JUL</v>
      </c>
      <c r="C8" s="18" t="str">
        <f t="shared" si="0"/>
        <v>UK</v>
      </c>
      <c r="D8" s="18" t="str">
        <f>Sheet1!C8&amp;" "&amp;Sheet1!B8</f>
        <v>Adidas T-shirt</v>
      </c>
    </row>
    <row r="9" ht="15.75" spans="1:6">
      <c r="A9" s="23" t="s">
        <v>46</v>
      </c>
      <c r="B9" s="18" t="str">
        <f>LEFT(Sheet1!A9,6)</f>
        <v>23-AUG</v>
      </c>
      <c r="C9" s="18" t="str">
        <f t="shared" si="0"/>
        <v>UK</v>
      </c>
      <c r="D9" s="18" t="str">
        <f>Sheet1!C9&amp;" "&amp;Sheet1!B9</f>
        <v>Ninja Blender</v>
      </c>
      <c r="F9" s="24"/>
    </row>
    <row r="10" ht="15.75" spans="1:6">
      <c r="A10" s="22" t="s">
        <v>51</v>
      </c>
      <c r="B10" s="18" t="str">
        <f>LEFT(Sheet1!A10,6)</f>
        <v>05-SEP</v>
      </c>
      <c r="C10" s="18" t="str">
        <f t="shared" si="0"/>
        <v>UK</v>
      </c>
      <c r="D10" s="18" t="str">
        <f>Sheet1!C10&amp;" "&amp;Sheet1!B10</f>
        <v>Apple Tablet</v>
      </c>
    </row>
    <row r="11" ht="15.75" spans="1:6">
      <c r="A11" s="23" t="s">
        <v>54</v>
      </c>
      <c r="B11" s="18" t="str">
        <f>LEFT(Sheet1!A11,6)</f>
        <v>14-OCT</v>
      </c>
      <c r="C11" s="18" t="str">
        <f t="shared" si="0"/>
        <v>UK</v>
      </c>
      <c r="D11" s="18" t="str">
        <f>Sheet1!C11&amp;" "&amp;Sheet1!B11</f>
        <v>Timberland Hiking Boots</v>
      </c>
    </row>
    <row r="12" ht="15.75" spans="1:6">
      <c r="A12" s="22" t="s">
        <v>58</v>
      </c>
      <c r="B12" s="18" t="str">
        <f>LEFT(Sheet1!A12,6)</f>
        <v>17-JUN</v>
      </c>
      <c r="C12" s="18" t="str">
        <f t="shared" si="0"/>
        <v>IN</v>
      </c>
      <c r="D12" s="18" t="str">
        <f>Sheet1!C12&amp;" "&amp;Sheet1!B12</f>
        <v>HP Laptop</v>
      </c>
    </row>
    <row r="13" ht="15.75" spans="1:6">
      <c r="A13" s="23" t="s">
        <v>60</v>
      </c>
      <c r="B13" s="18" t="str">
        <f>LEFT(Sheet1!A13,6)</f>
        <v>25-NOV</v>
      </c>
      <c r="C13" s="18" t="str">
        <f t="shared" si="0"/>
        <v>AU</v>
      </c>
      <c r="D13" s="18" t="str">
        <f>Sheet1!C13&amp;" "&amp;Sheet1!B13</f>
        <v>Adidas Sneakers</v>
      </c>
    </row>
    <row r="14" ht="15.75" spans="1:6">
      <c r="A14" s="22" t="s">
        <v>61</v>
      </c>
      <c r="B14" s="18" t="str">
        <f>LEFT(Sheet1!A14,6)</f>
        <v>08-DEC</v>
      </c>
      <c r="C14" s="18" t="str">
        <f t="shared" si="0"/>
        <v>DE</v>
      </c>
      <c r="D14" s="18" t="str">
        <f>Sheet1!C14&amp;" "&amp;Sheet1!B14</f>
        <v>Nespresso Coffee Maker</v>
      </c>
    </row>
    <row r="15" ht="15.75" spans="1:6">
      <c r="A15" s="23" t="s">
        <v>63</v>
      </c>
      <c r="B15" s="18" t="str">
        <f>LEFT(Sheet1!A15,6)</f>
        <v>18-FEB</v>
      </c>
      <c r="C15" s="18" t="str">
        <f t="shared" si="0"/>
        <v>CA</v>
      </c>
      <c r="D15" s="18" t="str">
        <f>Sheet1!C15&amp;" "&amp;Sheet1!B15</f>
        <v>Fitbit Smartwatch</v>
      </c>
    </row>
    <row r="16" ht="15.75" spans="1:6">
      <c r="A16" s="22" t="s">
        <v>66</v>
      </c>
      <c r="B16" s="18" t="str">
        <f>LEFT(Sheet1!A16,6)</f>
        <v>16-APR</v>
      </c>
      <c r="C16" s="18" t="str">
        <f t="shared" si="0"/>
        <v>ES</v>
      </c>
      <c r="D16" s="18" t="str">
        <f>Sheet1!C16&amp;" "&amp;Sheet1!B16</f>
        <v>Bose Headphones</v>
      </c>
    </row>
    <row r="17" ht="15.75" spans="1:4">
      <c r="A17" s="23" t="s">
        <v>68</v>
      </c>
      <c r="B17" s="18" t="str">
        <f>LEFT(Sheet1!A17,6)</f>
        <v>21-AUG</v>
      </c>
      <c r="C17" s="18" t="str">
        <f t="shared" si="0"/>
        <v>CA</v>
      </c>
      <c r="D17" s="18" t="str">
        <f>Sheet1!C17&amp;" "&amp;Sheet1!B17</f>
        <v>Samsonite Laptop Bag</v>
      </c>
    </row>
    <row r="18" ht="15.75" spans="1:4">
      <c r="A18" s="22" t="s">
        <v>72</v>
      </c>
      <c r="B18" s="18" t="str">
        <f>LEFT(Sheet1!A18,6)</f>
        <v>20-AUG</v>
      </c>
      <c r="C18" s="18" t="str">
        <f t="shared" si="0"/>
        <v>CN</v>
      </c>
      <c r="D18" s="18" t="str">
        <f>Sheet1!C18&amp;" "&amp;Sheet1!B18</f>
        <v>Huawei Smartwatch</v>
      </c>
    </row>
    <row r="19" ht="15.75" spans="1:4">
      <c r="A19" s="23" t="s">
        <v>74</v>
      </c>
      <c r="B19" s="18" t="str">
        <f>LEFT(Sheet1!A19,6)</f>
        <v>27-JAN</v>
      </c>
      <c r="C19" s="18" t="str">
        <f t="shared" si="0"/>
        <v>IT</v>
      </c>
      <c r="D19" s="18" t="str">
        <f>Sheet1!C19&amp;" "&amp;Sheet1!B19</f>
        <v>Asus Laptop</v>
      </c>
    </row>
    <row r="20" ht="15.75" spans="1:4">
      <c r="A20" s="22" t="s">
        <v>76</v>
      </c>
      <c r="B20" s="18" t="str">
        <f>LEFT(Sheet1!A20,6)</f>
        <v>01-MAR</v>
      </c>
      <c r="C20" s="18" t="str">
        <f t="shared" si="0"/>
        <v>UK</v>
      </c>
      <c r="D20" s="18" t="str">
        <f>Sheet1!C20&amp;" "&amp;Sheet1!B20</f>
        <v>Oakley Sunglasses</v>
      </c>
    </row>
    <row r="21" ht="15.75" spans="1:4">
      <c r="A21" s="23" t="s">
        <v>79</v>
      </c>
      <c r="B21" s="18" t="str">
        <f>LEFT(Sheet1!A21,6)</f>
        <v>14-AUG</v>
      </c>
      <c r="C21" s="18" t="str">
        <f t="shared" si="0"/>
        <v>US</v>
      </c>
      <c r="D21" s="18" t="str">
        <f>Sheet1!C21&amp;" "&amp;Sheet1!B21</f>
        <v>Coleman Camping Tent</v>
      </c>
    </row>
    <row r="22" ht="15.75" spans="1:4">
      <c r="A22" s="22" t="s">
        <v>82</v>
      </c>
      <c r="B22" s="18" t="str">
        <f>LEFT(Sheet1!A22,6)</f>
        <v>14-MAY</v>
      </c>
      <c r="C22" s="18" t="str">
        <f t="shared" si="0"/>
        <v>RU</v>
      </c>
      <c r="D22" s="18" t="str">
        <f>Sheet1!C22&amp;" "&amp;Sheet1!B22</f>
        <v>Nikon Camera</v>
      </c>
    </row>
    <row r="23" ht="15.75" spans="1:4">
      <c r="A23" s="23" t="s">
        <v>85</v>
      </c>
      <c r="B23" s="18" t="str">
        <f>LEFT(Sheet1!A23,6)</f>
        <v>09-JAN</v>
      </c>
      <c r="C23" s="18" t="str">
        <f t="shared" si="0"/>
        <v>CA</v>
      </c>
      <c r="D23" s="18" t="str">
        <f>Sheet1!C23&amp;" "&amp;Sheet1!B23</f>
        <v>Panasonic Microwave</v>
      </c>
    </row>
    <row r="24" ht="15.75" spans="1:4">
      <c r="A24" s="22" t="s">
        <v>88</v>
      </c>
      <c r="B24" s="18" t="str">
        <f>LEFT(Sheet1!A24,6)</f>
        <v>19-JUL</v>
      </c>
      <c r="C24" s="18" t="str">
        <f t="shared" si="0"/>
        <v>BR</v>
      </c>
      <c r="D24" s="18" t="str">
        <f>Sheet1!C24&amp;" "&amp;Sheet1!B24</f>
        <v>Xiaomi Fitness Tracker</v>
      </c>
    </row>
    <row r="25" ht="15.75" spans="1:4">
      <c r="A25" s="22" t="s">
        <v>91</v>
      </c>
      <c r="B25" s="18" t="str">
        <f>LEFT(Sheet1!A25,6)</f>
        <v>29-SEP</v>
      </c>
      <c r="C25" s="18" t="str">
        <f t="shared" si="0"/>
        <v>CA</v>
      </c>
      <c r="D25" s="18" t="str">
        <f>Sheet1!C25&amp;" "&amp;Sheet1!B25</f>
        <v>Google Smartphone</v>
      </c>
    </row>
    <row r="26" ht="15.75" spans="1:4">
      <c r="A26" s="23" t="s">
        <v>93</v>
      </c>
      <c r="B26" s="18" t="str">
        <f>LEFT(Sheet1!A26,6)</f>
        <v>03-JUN</v>
      </c>
      <c r="C26" s="18" t="str">
        <f t="shared" si="0"/>
        <v>CA</v>
      </c>
      <c r="D26" s="18" t="str">
        <f>Sheet1!C26&amp;" "&amp;Sheet1!B26</f>
        <v>Ray-Ban Sunglasses</v>
      </c>
    </row>
    <row r="27" ht="15.75" spans="1:4">
      <c r="A27" s="22" t="s">
        <v>95</v>
      </c>
      <c r="B27" s="18" t="str">
        <f>LEFT(Sheet1!A27,6)</f>
        <v>11-JUL</v>
      </c>
      <c r="C27" s="18" t="str">
        <f t="shared" si="0"/>
        <v>CA</v>
      </c>
      <c r="D27" s="18" t="str">
        <f>Sheet1!C27&amp;" "&amp;Sheet1!B27</f>
        <v>Vitamix Blender</v>
      </c>
    </row>
    <row r="28" ht="15.75" spans="1:4">
      <c r="A28" s="22" t="s">
        <v>97</v>
      </c>
      <c r="B28" s="18" t="str">
        <f>LEFT(Sheet1!A28,6)</f>
        <v>07-MAR</v>
      </c>
      <c r="C28" s="18" t="str">
        <f t="shared" si="0"/>
        <v>CA</v>
      </c>
      <c r="D28" s="18" t="str">
        <f>Sheet1!C28&amp;" "&amp;Sheet1!B28</f>
        <v>Zara Dress</v>
      </c>
    </row>
    <row r="29" ht="15.75" spans="1:4">
      <c r="A29" s="23" t="s">
        <v>100</v>
      </c>
      <c r="B29" s="18" t="str">
        <f>LEFT(Sheet1!A29,6)</f>
        <v>13-APR</v>
      </c>
      <c r="C29" s="18" t="str">
        <f t="shared" si="0"/>
        <v>CA</v>
      </c>
      <c r="D29" s="18" t="str">
        <f>Sheet1!C29&amp;" "&amp;Sheet1!B29</f>
        <v>Hamilton Toaster</v>
      </c>
    </row>
    <row r="30" ht="15.75" spans="1:4">
      <c r="A30" s="22" t="s">
        <v>103</v>
      </c>
      <c r="B30" s="18" t="str">
        <f>LEFT(Sheet1!A30,6)</f>
        <v>24-MAY</v>
      </c>
      <c r="C30" s="18" t="str">
        <f t="shared" si="0"/>
        <v>CA</v>
      </c>
      <c r="D30" s="18" t="str">
        <f>Sheet1!C30&amp;" "&amp;Sheet1!B30</f>
        <v>Garmin Fitness Tracker</v>
      </c>
    </row>
    <row r="31" ht="15.75" spans="1:4">
      <c r="A31" s="23" t="s">
        <v>105</v>
      </c>
      <c r="B31" s="18" t="str">
        <f>LEFT(Sheet1!A31,6)</f>
        <v>02-DEC</v>
      </c>
      <c r="C31" s="18" t="str">
        <f t="shared" si="0"/>
        <v>CA</v>
      </c>
      <c r="D31" s="18" t="str">
        <f>Sheet1!C31&amp;" "&amp;Sheet1!B31</f>
        <v>Levi's Jeans</v>
      </c>
    </row>
    <row r="32" ht="15.75" spans="1:4">
      <c r="A32" s="23" t="s">
        <v>108</v>
      </c>
      <c r="B32" s="18" t="str">
        <f>LEFT(Sheet1!A32,6)</f>
        <v>09-JUL</v>
      </c>
      <c r="C32" s="18" t="str">
        <f t="shared" si="0"/>
        <v>FR</v>
      </c>
      <c r="D32" s="18" t="str">
        <f>Sheet1!C32&amp;" "&amp;Sheet1!B32</f>
        <v>Casio Watch</v>
      </c>
    </row>
  </sheetData>
  <pageMargins left="0.75" right="0.75" top="1" bottom="1" header="0.5" footer="0.5"/>
  <headerFooter/>
  <ignoredErrors>
    <ignoredError sqref="A1:D1 A2:C32" evalError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C2" sqref="C2"/>
    </sheetView>
  </sheetViews>
  <sheetFormatPr defaultColWidth="9.14285714285714" defaultRowHeight="15" outlineLevelCol="2"/>
  <cols>
    <col min="1" max="1" width="11.5714285714286" style="15" customWidth="1"/>
    <col min="2" max="2" width="20.4285714285714" customWidth="1"/>
    <col min="3" max="3" width="22.2857142857143" customWidth="1"/>
  </cols>
  <sheetData>
    <row r="1" ht="15.75" spans="1:3">
      <c r="A1" s="16" t="s">
        <v>3</v>
      </c>
      <c r="B1" t="s">
        <v>44</v>
      </c>
      <c r="C1" t="s">
        <v>113</v>
      </c>
    </row>
    <row r="2" ht="15.75" spans="1:3">
      <c r="A2" s="17">
        <v>1000</v>
      </c>
      <c r="B2" s="18" t="str">
        <f>LEFT(Sheet1!A2,6)</f>
        <v>28-JAN</v>
      </c>
      <c r="C2" s="18" t="str">
        <f t="shared" ref="C2:C32" si="0">TEXT(B2,"DD-MM-YYYY")</f>
        <v>28-01-2026</v>
      </c>
    </row>
    <row r="3" ht="15.75" spans="1:3">
      <c r="A3" s="19">
        <v>80</v>
      </c>
      <c r="B3" s="18" t="str">
        <f>LEFT(Sheet1!A3,6)</f>
        <v>15-FEB</v>
      </c>
      <c r="C3" s="18" t="str">
        <f t="shared" si="0"/>
        <v>15-02-2026</v>
      </c>
    </row>
    <row r="4" ht="15.75" spans="1:3">
      <c r="A4" s="17">
        <v>130</v>
      </c>
      <c r="B4" s="18" t="str">
        <f>LEFT(Sheet1!A4,6)</f>
        <v>03-MAR</v>
      </c>
      <c r="C4" s="18" t="str">
        <f t="shared" si="0"/>
        <v>03-03-2026</v>
      </c>
    </row>
    <row r="5" ht="15.75" spans="1:3">
      <c r="A5" s="19">
        <v>900</v>
      </c>
      <c r="B5" s="18" t="str">
        <f>LEFT(Sheet1!A5,6)</f>
        <v>11-APR</v>
      </c>
      <c r="C5" s="18" t="str">
        <f t="shared" si="0"/>
        <v>11-04-2026</v>
      </c>
    </row>
    <row r="6" ht="15.75" spans="1:3">
      <c r="A6" s="17">
        <v>70</v>
      </c>
      <c r="B6" s="18" t="str">
        <f>LEFT(Sheet1!A6,6)</f>
        <v>22-MAY</v>
      </c>
      <c r="C6" s="18" t="str">
        <f t="shared" si="0"/>
        <v>22-05-2026</v>
      </c>
    </row>
    <row r="7" ht="15.75" spans="1:3">
      <c r="A7" s="20" t="s">
        <v>38</v>
      </c>
      <c r="B7" s="18" t="str">
        <f>LEFT(Sheet1!A7,6)</f>
        <v>07-JUN</v>
      </c>
      <c r="C7" s="18" t="str">
        <f t="shared" si="0"/>
        <v>07-06-2026</v>
      </c>
    </row>
    <row r="8" ht="15.75" spans="1:3">
      <c r="A8" s="17">
        <v>30</v>
      </c>
      <c r="B8" s="18" t="str">
        <f>LEFT(Sheet1!A8,6)</f>
        <v>19-JUL</v>
      </c>
      <c r="C8" s="18" t="str">
        <f t="shared" si="0"/>
        <v>19-07-2026</v>
      </c>
    </row>
    <row r="9" ht="15.75" spans="1:3">
      <c r="A9" s="19">
        <v>90</v>
      </c>
      <c r="B9" s="18" t="str">
        <f>LEFT(Sheet1!A9,6)</f>
        <v>23-AUG</v>
      </c>
      <c r="C9" s="18" t="str">
        <f t="shared" si="0"/>
        <v>23-08-2026</v>
      </c>
    </row>
    <row r="10" ht="15.75" spans="1:3">
      <c r="A10" s="17">
        <v>500</v>
      </c>
      <c r="B10" s="18" t="str">
        <f>LEFT(Sheet1!A10,6)</f>
        <v>05-SEP</v>
      </c>
      <c r="C10" s="18" t="str">
        <f t="shared" si="0"/>
        <v>05-09-2026</v>
      </c>
    </row>
    <row r="11" ht="15.75" spans="1:3">
      <c r="A11" s="19">
        <v>130</v>
      </c>
      <c r="B11" s="18" t="str">
        <f>LEFT(Sheet1!A11,6)</f>
        <v>14-OCT</v>
      </c>
      <c r="C11" s="18" t="str">
        <f t="shared" si="0"/>
        <v>14-10-2026</v>
      </c>
    </row>
    <row r="12" ht="15.75" spans="1:3">
      <c r="A12" s="17">
        <v>950</v>
      </c>
      <c r="B12" s="18" t="str">
        <f>LEFT(Sheet1!A12,6)</f>
        <v>17-JUN</v>
      </c>
      <c r="C12" s="18" t="str">
        <f t="shared" si="0"/>
        <v>17-06-2026</v>
      </c>
    </row>
    <row r="13" ht="15.75" spans="1:3">
      <c r="A13" s="19">
        <v>90</v>
      </c>
      <c r="B13" s="18" t="str">
        <f>LEFT(Sheet1!A13,6)</f>
        <v>25-NOV</v>
      </c>
      <c r="C13" s="18" t="str">
        <f t="shared" si="0"/>
        <v>25-11-2026</v>
      </c>
    </row>
    <row r="14" ht="15.75" spans="1:3">
      <c r="A14" s="17">
        <v>120</v>
      </c>
      <c r="B14" s="18" t="str">
        <f>LEFT(Sheet1!A14,6)</f>
        <v>08-DEC</v>
      </c>
      <c r="C14" s="18" t="str">
        <f t="shared" si="0"/>
        <v>08-12-2026</v>
      </c>
    </row>
    <row r="15" ht="15.75" spans="1:3">
      <c r="A15" s="19">
        <v>150</v>
      </c>
      <c r="B15" s="18" t="str">
        <f>LEFT(Sheet1!A15,6)</f>
        <v>18-FEB</v>
      </c>
      <c r="C15" s="18" t="str">
        <f t="shared" si="0"/>
        <v>18-02-2026</v>
      </c>
    </row>
    <row r="16" ht="15.75" spans="1:3">
      <c r="A16" s="17">
        <v>250</v>
      </c>
      <c r="B16" s="18" t="str">
        <f>LEFT(Sheet1!A16,6)</f>
        <v>16-APR</v>
      </c>
      <c r="C16" s="18" t="str">
        <f t="shared" si="0"/>
        <v>16-04-2026</v>
      </c>
    </row>
    <row r="17" ht="15.75" spans="1:3">
      <c r="A17" s="19">
        <v>50</v>
      </c>
      <c r="B17" s="18" t="str">
        <f>LEFT(Sheet1!A17,6)</f>
        <v>21-AUG</v>
      </c>
      <c r="C17" s="18" t="str">
        <f t="shared" si="0"/>
        <v>21-08-2026</v>
      </c>
    </row>
    <row r="18" ht="15.75" spans="1:3">
      <c r="A18" s="17">
        <v>160</v>
      </c>
      <c r="B18" s="18" t="str">
        <f>LEFT(Sheet1!A18,6)</f>
        <v>20-AUG</v>
      </c>
      <c r="C18" s="18" t="str">
        <f t="shared" si="0"/>
        <v>20-08-2026</v>
      </c>
    </row>
    <row r="19" ht="15.75" spans="1:3">
      <c r="A19" s="19">
        <v>980</v>
      </c>
      <c r="B19" s="18" t="str">
        <f>LEFT(Sheet1!A19,6)</f>
        <v>27-JAN</v>
      </c>
      <c r="C19" s="18" t="str">
        <f t="shared" si="0"/>
        <v>27-01-2026</v>
      </c>
    </row>
    <row r="20" ht="15.75" spans="1:3">
      <c r="A20" s="17">
        <v>150</v>
      </c>
      <c r="B20" s="18" t="str">
        <f>LEFT(Sheet1!A20,6)</f>
        <v>01-MAR</v>
      </c>
      <c r="C20" s="18" t="str">
        <f t="shared" si="0"/>
        <v>01-03-2026</v>
      </c>
    </row>
    <row r="21" ht="15.75" spans="1:3">
      <c r="A21" s="20" t="s">
        <v>38</v>
      </c>
      <c r="B21" s="18" t="str">
        <f>LEFT(Sheet1!A21,6)</f>
        <v>14-AUG</v>
      </c>
      <c r="C21" s="18" t="str">
        <f t="shared" si="0"/>
        <v>14-08-2026</v>
      </c>
    </row>
    <row r="22" ht="15.75" spans="1:3">
      <c r="A22" s="17">
        <v>700</v>
      </c>
      <c r="B22" s="18" t="str">
        <f>LEFT(Sheet1!A22,6)</f>
        <v>14-MAY</v>
      </c>
      <c r="C22" s="18" t="str">
        <f t="shared" si="0"/>
        <v>14-05-2026</v>
      </c>
    </row>
    <row r="23" ht="15.75" spans="1:3">
      <c r="A23" s="19">
        <v>80</v>
      </c>
      <c r="B23" s="18" t="str">
        <f>LEFT(Sheet1!A23,6)</f>
        <v>09-JAN</v>
      </c>
      <c r="C23" s="18" t="str">
        <f t="shared" si="0"/>
        <v>09-01-2026</v>
      </c>
    </row>
    <row r="24" ht="15.75" spans="1:3">
      <c r="A24" s="17">
        <v>150</v>
      </c>
      <c r="B24" s="18" t="str">
        <f>LEFT(Sheet1!A24,6)</f>
        <v>19-JUL</v>
      </c>
      <c r="C24" s="18" t="str">
        <f t="shared" si="0"/>
        <v>19-07-2026</v>
      </c>
    </row>
    <row r="25" ht="15.75" spans="1:3">
      <c r="A25" s="17">
        <v>800</v>
      </c>
      <c r="B25" s="18" t="str">
        <f>LEFT(Sheet1!A25,6)</f>
        <v>29-SEP</v>
      </c>
      <c r="C25" s="18" t="str">
        <f t="shared" si="0"/>
        <v>29-09-2026</v>
      </c>
    </row>
    <row r="26" ht="15.75" spans="1:3">
      <c r="A26" s="20" t="s">
        <v>38</v>
      </c>
      <c r="B26" s="18" t="str">
        <f>LEFT(Sheet1!A26,6)</f>
        <v>03-JUN</v>
      </c>
      <c r="C26" s="18" t="str">
        <f t="shared" si="0"/>
        <v>03-06-2026</v>
      </c>
    </row>
    <row r="27" ht="15.75" spans="1:3">
      <c r="A27" s="17">
        <v>400</v>
      </c>
      <c r="B27" s="18" t="str">
        <f>LEFT(Sheet1!A27,6)</f>
        <v>11-JUL</v>
      </c>
      <c r="C27" s="18" t="str">
        <f t="shared" si="0"/>
        <v>11-07-2026</v>
      </c>
    </row>
    <row r="28" ht="15.75" spans="1:3">
      <c r="A28" s="17">
        <v>60</v>
      </c>
      <c r="B28" s="18" t="str">
        <f>LEFT(Sheet1!A28,6)</f>
        <v>07-MAR</v>
      </c>
      <c r="C28" s="18" t="str">
        <f t="shared" si="0"/>
        <v>07-03-2026</v>
      </c>
    </row>
    <row r="29" ht="15.75" spans="1:3">
      <c r="A29" s="19">
        <v>40</v>
      </c>
      <c r="B29" s="18" t="str">
        <f>LEFT(Sheet1!A29,6)</f>
        <v>13-APR</v>
      </c>
      <c r="C29" s="18" t="str">
        <f t="shared" si="0"/>
        <v>13-04-2026</v>
      </c>
    </row>
    <row r="30" ht="15.75" spans="1:3">
      <c r="A30" s="17">
        <v>130</v>
      </c>
      <c r="B30" s="18" t="str">
        <f>LEFT(Sheet1!A30,6)</f>
        <v>24-MAY</v>
      </c>
      <c r="C30" s="18" t="str">
        <f t="shared" si="0"/>
        <v>24-05-2026</v>
      </c>
    </row>
    <row r="31" ht="15.75" spans="1:3">
      <c r="A31" s="19">
        <v>50</v>
      </c>
      <c r="B31" s="18" t="str">
        <f>LEFT(Sheet1!A31,6)</f>
        <v>02-DEC</v>
      </c>
      <c r="C31" s="18" t="str">
        <f t="shared" si="0"/>
        <v>02-12-2026</v>
      </c>
    </row>
    <row r="32" ht="15.75" spans="1:3">
      <c r="A32" s="19">
        <v>100</v>
      </c>
      <c r="B32" s="18" t="str">
        <f>LEFT(Sheet1!A32,6)</f>
        <v>09-JUL</v>
      </c>
      <c r="C32" s="18" t="str">
        <f t="shared" si="0"/>
        <v>09-07-2026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G26" sqref="G26"/>
    </sheetView>
  </sheetViews>
  <sheetFormatPr defaultColWidth="9.14285714285714" defaultRowHeight="15" outlineLevelCol="1"/>
  <cols>
    <col min="1" max="1" width="9"/>
    <col min="2" max="2" width="13.7142857142857" customWidth="1"/>
  </cols>
  <sheetData>
    <row r="1" spans="1:2">
      <c r="A1" s="1" t="s">
        <v>3</v>
      </c>
      <c r="B1" s="2" t="s">
        <v>6</v>
      </c>
    </row>
    <row r="2" spans="1:2">
      <c r="A2" s="3">
        <v>1000</v>
      </c>
      <c r="B2" s="4" t="s">
        <v>11</v>
      </c>
    </row>
    <row r="3" spans="1:2">
      <c r="A3" s="5">
        <v>80</v>
      </c>
      <c r="B3" s="6" t="s">
        <v>16</v>
      </c>
    </row>
    <row r="4" spans="1:2">
      <c r="A4" s="7">
        <v>130</v>
      </c>
      <c r="B4" s="8" t="s">
        <v>22</v>
      </c>
    </row>
    <row r="5" spans="1:2">
      <c r="A5" s="5">
        <v>900</v>
      </c>
      <c r="B5" s="6" t="s">
        <v>11</v>
      </c>
    </row>
    <row r="6" spans="1:2">
      <c r="A6" s="7">
        <v>70</v>
      </c>
      <c r="B6" s="8" t="s">
        <v>16</v>
      </c>
    </row>
    <row r="7" spans="1:2">
      <c r="A7" s="9" t="s">
        <v>38</v>
      </c>
      <c r="B7" s="6" t="s">
        <v>11</v>
      </c>
    </row>
    <row r="8" spans="1:2">
      <c r="A8" s="7">
        <v>30</v>
      </c>
      <c r="B8" s="8" t="s">
        <v>16</v>
      </c>
    </row>
    <row r="9" spans="1:2">
      <c r="A9" s="5">
        <v>90</v>
      </c>
      <c r="B9" s="6" t="s">
        <v>22</v>
      </c>
    </row>
    <row r="10" spans="1:2">
      <c r="A10" s="7">
        <v>500</v>
      </c>
      <c r="B10" s="8" t="s">
        <v>11</v>
      </c>
    </row>
    <row r="11" spans="1:2">
      <c r="A11" s="5">
        <v>130</v>
      </c>
      <c r="B11" s="6" t="s">
        <v>57</v>
      </c>
    </row>
    <row r="12" spans="1:2">
      <c r="A12" s="7">
        <v>950</v>
      </c>
      <c r="B12" s="8" t="s">
        <v>11</v>
      </c>
    </row>
    <row r="13" spans="1:2">
      <c r="A13" s="5">
        <v>90</v>
      </c>
      <c r="B13" s="6" t="s">
        <v>16</v>
      </c>
    </row>
    <row r="14" spans="1:2">
      <c r="A14" s="7">
        <v>120</v>
      </c>
      <c r="B14" s="8" t="s">
        <v>22</v>
      </c>
    </row>
    <row r="15" spans="1:2">
      <c r="A15" s="5">
        <v>150</v>
      </c>
      <c r="B15" s="6" t="s">
        <v>11</v>
      </c>
    </row>
    <row r="16" spans="1:2">
      <c r="A16" s="7">
        <v>250</v>
      </c>
      <c r="B16" s="8" t="s">
        <v>11</v>
      </c>
    </row>
    <row r="17" spans="1:2">
      <c r="A17" s="5">
        <v>50</v>
      </c>
      <c r="B17" s="6" t="s">
        <v>71</v>
      </c>
    </row>
    <row r="18" spans="1:2">
      <c r="A18" s="7">
        <v>160</v>
      </c>
      <c r="B18" s="8" t="s">
        <v>11</v>
      </c>
    </row>
    <row r="19" spans="1:2">
      <c r="A19" s="5">
        <v>980</v>
      </c>
      <c r="B19" s="6" t="s">
        <v>11</v>
      </c>
    </row>
    <row r="20" spans="1:2">
      <c r="A20" s="7">
        <v>150</v>
      </c>
      <c r="B20" s="8" t="s">
        <v>16</v>
      </c>
    </row>
    <row r="21" spans="1:2">
      <c r="A21" s="9" t="s">
        <v>38</v>
      </c>
      <c r="B21" s="6" t="s">
        <v>57</v>
      </c>
    </row>
    <row r="22" spans="1:2">
      <c r="A22" s="7">
        <v>700</v>
      </c>
      <c r="B22" s="8" t="s">
        <v>11</v>
      </c>
    </row>
    <row r="23" spans="1:2">
      <c r="A23" s="5">
        <v>80</v>
      </c>
      <c r="B23" s="6" t="s">
        <v>22</v>
      </c>
    </row>
    <row r="24" spans="1:2">
      <c r="A24" s="7">
        <v>150</v>
      </c>
      <c r="B24" s="8" t="s">
        <v>11</v>
      </c>
    </row>
    <row r="25" spans="1:2">
      <c r="A25" s="5">
        <v>800</v>
      </c>
      <c r="B25" s="6" t="s">
        <v>11</v>
      </c>
    </row>
    <row r="26" spans="1:2">
      <c r="A26" s="10" t="s">
        <v>38</v>
      </c>
      <c r="B26" s="8" t="s">
        <v>16</v>
      </c>
    </row>
    <row r="27" spans="1:2">
      <c r="A27" s="5">
        <v>400</v>
      </c>
      <c r="B27" s="6" t="s">
        <v>22</v>
      </c>
    </row>
    <row r="28" spans="1:2">
      <c r="A28" s="7">
        <v>60</v>
      </c>
      <c r="B28" s="8" t="s">
        <v>16</v>
      </c>
    </row>
    <row r="29" spans="1:2">
      <c r="A29" s="5">
        <v>40</v>
      </c>
      <c r="B29" s="6" t="s">
        <v>22</v>
      </c>
    </row>
    <row r="30" spans="1:2">
      <c r="A30" s="7">
        <v>130</v>
      </c>
      <c r="B30" s="8" t="s">
        <v>11</v>
      </c>
    </row>
    <row r="31" spans="1:2">
      <c r="A31" s="11">
        <v>50</v>
      </c>
      <c r="B31" s="12" t="s">
        <v>16</v>
      </c>
    </row>
    <row r="32" spans="1:2">
      <c r="A32" s="13">
        <v>100</v>
      </c>
      <c r="B32" s="14" t="s">
        <v>71</v>
      </c>
    </row>
  </sheetData>
  <conditionalFormatting sqref="A1:A6553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{e0bd357b-723b-43ed-b3ac-554bded457b4}</x14:id>
        </ext>
      </extLst>
    </cfRule>
  </conditionalFormatting>
  <conditionalFormatting sqref="B2:B32">
    <cfRule type="containsText" dxfId="13" priority="1" operator="between" text="Electronics">
      <formula>NOT(ISERROR(SEARCH("Electronics",B2)))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bd357b-723b-43ed-b3ac-554bded457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A1:A65536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Splitting and merging data</vt:lpstr>
      <vt:lpstr>Number formatting</vt:lpstr>
      <vt:lpstr>Conditional formatting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pp</dc:creator>
  <cp:lastModifiedBy>Dell</cp:lastModifiedBy>
  <dcterms:created xsi:type="dcterms:W3CDTF">2026-08-31T14:58:00Z</dcterms:created>
  <dcterms:modified xsi:type="dcterms:W3CDTF">2026-09-05T06:43:46Z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7D9A7BC7DB06449C84B492531533AB85_13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