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890" windowHeight="76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<sst xmlns="http://schemas.openxmlformats.org/spreadsheetml/2006/main" count="188" uniqueCount="105">
  <si>
    <t>Product ID</t>
  </si>
  <si>
    <t>Product Name</t>
  </si>
  <si>
    <t>Brand Name</t>
  </si>
  <si>
    <t>Price ($)</t>
  </si>
  <si>
    <t>Quantity</t>
  </si>
  <si>
    <t>Category</t>
  </si>
  <si>
    <t>Price range</t>
  </si>
  <si>
    <t>28-JAN-US</t>
  </si>
  <si>
    <t>Laptop</t>
  </si>
  <si>
    <t>Dell</t>
  </si>
  <si>
    <t>Electronics</t>
  </si>
  <si>
    <t>TOTAL PRICE OF ALL PRODUTS:</t>
  </si>
  <si>
    <t>15-FEB-US</t>
  </si>
  <si>
    <t>Sneakers</t>
  </si>
  <si>
    <t>Nike</t>
  </si>
  <si>
    <t>Fashion</t>
  </si>
  <si>
    <t>TOTAL PRODUCT:</t>
  </si>
  <si>
    <t>03-MAR-US</t>
  </si>
  <si>
    <t>Coffee Maker</t>
  </si>
  <si>
    <t>Keurig</t>
  </si>
  <si>
    <t>Kitchen</t>
  </si>
  <si>
    <t>AVERAGE PRICE:</t>
  </si>
  <si>
    <t>11-APR-US</t>
  </si>
  <si>
    <t>Smartphone</t>
  </si>
  <si>
    <t>Samsung</t>
  </si>
  <si>
    <t>MINIMUM PRICE:</t>
  </si>
  <si>
    <t>22-MAY-US</t>
  </si>
  <si>
    <t>Backpack</t>
  </si>
  <si>
    <t>North Face</t>
  </si>
  <si>
    <t>Outdoor</t>
  </si>
  <si>
    <t>MAXIMUM PRICE:</t>
  </si>
  <si>
    <t>07-JUN-UK</t>
  </si>
  <si>
    <t>Headphones</t>
  </si>
  <si>
    <t>Sony</t>
  </si>
  <si>
    <t>TOTAL PRICE FOR ELECTRONIC:</t>
  </si>
  <si>
    <t>19-JUL-UK</t>
  </si>
  <si>
    <t>T-shirt</t>
  </si>
  <si>
    <t>Adidas</t>
  </si>
  <si>
    <t>COUNT OF PRODUCTS WITH PRICE LESS THAN 100: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</si>
  <si>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</si>
  <si>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</si>
  <si>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</si>
  <si>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</si>
  <si>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</si>
  <si>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</si>
  <si>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</si>
  <si>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</si>
  <si>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</si>
  <si>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</si>
  <si>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</si>
  <si>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</si>
  <si>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</si>
  <si>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</si>
  <si>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</si>
  <si>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</si>
  <si>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</si>
  <si>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</si>
  <si>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</si>
  <si>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</si>
  <si>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</si>
  <si>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</si>
  <si>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</si>
  <si>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</si>
  <si>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</si>
  <si>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</si>
  <si>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</si>
  <si>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</si>
  <si>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</si>
  <si>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</si>
  <si>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</si>
  <si>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</si>
  <si>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</si>
  <si>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</si>
  <si>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</si>
  <si>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</si>
  <si>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</si>
  <si>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</si>
  <si>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</si>
  <si>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</si>
  <si>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</si>
  <si>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</si>
  <si>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</si>
  <si>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</si>
  <si>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</si>
  <si>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</si>
  <si>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</si>
  <si>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</si>
  <si>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</si>
  <si>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</si>
  <si>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</si>
  <si>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</si>
  <si>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</si>
  <si>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</si>
  <si>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</si>
  <si>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</si>
  <si>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</si>
  <si>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</si>
  <si>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</si>
  <si>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</si>
  <si>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</si>
  <si>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</si>
  <si>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TEXT</t>
  </si>
  <si>
    <t>LEFT</t>
  </si>
  <si>
    <t>RIGHT</t>
  </si>
  <si>
    <t>MID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</si>
</sst>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1"/>
      <color theme="3" tint="-0.25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0F7FA"/>
        <bgColor indexed="64"/>
      </patternFill>
    </fill>
    <fill>
      <patternFill patternType="solid">
        <fgColor rgb="FF4DD0E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4" fillId="4" borderId="3" xfId="0" applyFont="1" applyFill="1" applyBorder="1"/>
    <xf numFmtId="0" fontId="4" fillId="4" borderId="3" xfId="0" applyFont="1" applyFill="1" applyBorder="1"/>
    <xf numFmtId="0" fontId="2" fillId="2" borderId="1" xfId="0" applyFont="1" applyFill="1" applyBorder="1" applyAlignment="1">
      <alignment horizontal="right" wrapText="1"/>
    </xf>
    <xf numFmtId="0" fontId="5" fillId="0" borderId="0" xfId="0" applyFont="1"/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D35" totalsRowShown="0">
  <autoFilter xmlns:etc="http://www.wps.cn/officeDocument/2017/etCustomData" ref="A1:D35" etc:filterBottomFollowUsedRange="0"/>
  <tableColumns count="4">
    <tableColumn id="1" name="TEXT"/>
    <tableColumn id="2" name="LEFT">
      <calculatedColumnFormula>LEFT(A2,2)</calculatedColumnFormula>
    </tableColumn>
    <tableColumn id="3" name="RIGHT">
      <calculatedColumnFormula>RIGHT(A2,2)</calculatedColumnFormula>
    </tableColumn>
    <tableColumn id="4" name="MID">
      <calculatedColumnFormula>MID(A2,4,3)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tabSelected="1" workbookViewId="0">
      <selection activeCell="I14" sqref="I14"/>
    </sheetView>
  </sheetViews>
  <sheetFormatPr defaultColWidth="9" defaultRowHeight="15"/>
  <cols>
    <col min="1" max="1" width="13.5714285714286" customWidth="1"/>
    <col min="2" max="2" width="13.4285714285714" customWidth="1"/>
    <col min="3" max="3" width="14" customWidth="1"/>
    <col min="4" max="4" width="13" customWidth="1"/>
    <col min="5" max="5" width="11.4285714285714" customWidth="1"/>
    <col min="6" max="6" width="14.5714285714286" customWidth="1"/>
    <col min="7" max="7" width="18.8571428571429" customWidth="1"/>
    <col min="8" max="8" width="5.14285714285714" customWidth="1"/>
    <col min="9" max="9" width="44" customWidth="1"/>
    <col min="10" max="10" width="14.2857142857143" customWidth="1"/>
    <col min="11" max="11" width="18.8571428571429" customWidth="1"/>
  </cols>
  <sheetData>
    <row r="1" ht="26.25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ht="15.75" spans="1:10">
      <c r="A2" s="2" t="s">
        <v>7</v>
      </c>
      <c r="B2" s="2" t="s">
        <v>8</v>
      </c>
      <c r="C2" s="2" t="s">
        <v>9</v>
      </c>
      <c r="D2" s="6">
        <v>1000</v>
      </c>
      <c r="E2" s="6">
        <v>30</v>
      </c>
      <c r="F2" s="2" t="s">
        <v>10</v>
      </c>
      <c r="G2" t="str">
        <f>IF(D2&gt;=500,"High price","Standard price")</f>
        <v>High price</v>
      </c>
      <c r="H2" s="7">
        <v>1</v>
      </c>
      <c r="I2" s="8" t="s">
        <v>11</v>
      </c>
      <c r="J2" s="7">
        <f>SUM(D2:D35)</f>
        <v>10100</v>
      </c>
    </row>
    <row r="3" ht="15.75" spans="1:10">
      <c r="A3" s="3" t="s">
        <v>12</v>
      </c>
      <c r="B3" s="3" t="s">
        <v>13</v>
      </c>
      <c r="C3" s="3" t="s">
        <v>14</v>
      </c>
      <c r="D3" s="9">
        <v>80</v>
      </c>
      <c r="E3" s="9">
        <v>15</v>
      </c>
      <c r="F3" s="3" t="s">
        <v>15</v>
      </c>
      <c r="G3" t="str">
        <f t="shared" ref="G3:G35" si="0">IF(D3&gt;=500,"High price","Standard price")</f>
        <v>Standard price</v>
      </c>
      <c r="H3" s="7">
        <v>2</v>
      </c>
      <c r="I3" s="8" t="s">
        <v>16</v>
      </c>
      <c r="J3" s="7">
        <f>COUNT(E2:E35)</f>
        <v>34</v>
      </c>
    </row>
    <row r="4" ht="15.75" spans="1:10">
      <c r="A4" s="2" t="s">
        <v>17</v>
      </c>
      <c r="B4" s="2" t="s">
        <v>18</v>
      </c>
      <c r="C4" s="2" t="s">
        <v>19</v>
      </c>
      <c r="D4" s="6">
        <v>130</v>
      </c>
      <c r="E4" s="6">
        <v>40</v>
      </c>
      <c r="F4" s="2" t="s">
        <v>20</v>
      </c>
      <c r="G4" t="str">
        <f t="shared" si="0"/>
        <v>Standard price</v>
      </c>
      <c r="H4" s="7">
        <v>3</v>
      </c>
      <c r="I4" s="8" t="s">
        <v>21</v>
      </c>
      <c r="J4" s="7">
        <f>AVERAGE(D2:D35)</f>
        <v>297.058823529412</v>
      </c>
    </row>
    <row r="5" ht="15.75" spans="1:10">
      <c r="A5" s="3" t="s">
        <v>22</v>
      </c>
      <c r="B5" s="3" t="s">
        <v>23</v>
      </c>
      <c r="C5" s="3" t="s">
        <v>24</v>
      </c>
      <c r="D5" s="9">
        <v>900</v>
      </c>
      <c r="E5" s="9">
        <v>25</v>
      </c>
      <c r="F5" s="3" t="s">
        <v>10</v>
      </c>
      <c r="G5" t="str">
        <f t="shared" si="0"/>
        <v>High price</v>
      </c>
      <c r="H5" s="7">
        <v>4</v>
      </c>
      <c r="I5" s="8" t="s">
        <v>25</v>
      </c>
      <c r="J5" s="7">
        <f>MIN(D2:D35)</f>
        <v>30</v>
      </c>
    </row>
    <row r="6" ht="15.75" spans="1:10">
      <c r="A6" s="2" t="s">
        <v>26</v>
      </c>
      <c r="B6" s="2" t="s">
        <v>27</v>
      </c>
      <c r="C6" s="2" t="s">
        <v>28</v>
      </c>
      <c r="D6" s="6">
        <v>70</v>
      </c>
      <c r="E6" s="6">
        <v>20</v>
      </c>
      <c r="F6" s="2" t="s">
        <v>29</v>
      </c>
      <c r="G6" t="str">
        <f t="shared" si="0"/>
        <v>Standard price</v>
      </c>
      <c r="H6" s="7">
        <v>5</v>
      </c>
      <c r="I6" s="8" t="s">
        <v>30</v>
      </c>
      <c r="J6" s="7">
        <f>MAX(D2:D35)</f>
        <v>1000</v>
      </c>
    </row>
    <row r="7" ht="15.75" spans="1:10">
      <c r="A7" s="3" t="s">
        <v>31</v>
      </c>
      <c r="B7" s="3" t="s">
        <v>32</v>
      </c>
      <c r="C7" s="3" t="s">
        <v>33</v>
      </c>
      <c r="D7" s="9">
        <v>200</v>
      </c>
      <c r="E7" s="9">
        <v>45</v>
      </c>
      <c r="F7" s="3" t="s">
        <v>10</v>
      </c>
      <c r="G7" t="str">
        <f t="shared" si="0"/>
        <v>Standard price</v>
      </c>
      <c r="H7" s="7">
        <v>6</v>
      </c>
      <c r="I7" s="8" t="s">
        <v>34</v>
      </c>
      <c r="J7" s="7">
        <f>SUMIF(F2:F35,F2,D2:D35)</f>
        <v>8050</v>
      </c>
    </row>
    <row r="8" ht="15.75" spans="1:10">
      <c r="A8" s="2" t="s">
        <v>35</v>
      </c>
      <c r="B8" s="2" t="s">
        <v>36</v>
      </c>
      <c r="C8" s="2" t="s">
        <v>37</v>
      </c>
      <c r="D8" s="6">
        <v>30</v>
      </c>
      <c r="E8" s="6">
        <v>5</v>
      </c>
      <c r="F8" s="2" t="s">
        <v>15</v>
      </c>
      <c r="G8" t="str">
        <f t="shared" si="0"/>
        <v>Standard price</v>
      </c>
      <c r="H8" s="7">
        <v>7</v>
      </c>
      <c r="I8" s="8" t="s">
        <v>38</v>
      </c>
      <c r="J8" s="7">
        <f>COUNTIF(D2:D35,"&lt;100")</f>
        <v>11</v>
      </c>
    </row>
    <row r="9" spans="1:10">
      <c r="A9" s="3" t="s">
        <v>39</v>
      </c>
      <c r="B9" s="3" t="s">
        <v>40</v>
      </c>
      <c r="C9" s="3" t="s">
        <v>41</v>
      </c>
      <c r="D9" s="9">
        <v>90</v>
      </c>
      <c r="E9" s="9">
        <v>35</v>
      </c>
      <c r="F9" s="3" t="s">
        <v>20</v>
      </c>
      <c r="G9" t="str">
        <f t="shared" si="0"/>
        <v>Standard price</v>
      </c>
    </row>
    <row r="10" ht="16.5" spans="1:10">
      <c r="A10" s="2" t="s">
        <v>42</v>
      </c>
      <c r="B10" s="2" t="s">
        <v>43</v>
      </c>
      <c r="C10" s="2" t="s">
        <v>44</v>
      </c>
      <c r="D10" s="6">
        <v>500</v>
      </c>
      <c r="E10" s="6">
        <v>50</v>
      </c>
      <c r="F10" s="2" t="s">
        <v>10</v>
      </c>
      <c r="G10" t="str">
        <f t="shared" si="0"/>
        <v>High price</v>
      </c>
      <c r="I10" s="10"/>
      <c r="J10" s="10"/>
    </row>
    <row r="11" ht="15.75" spans="1:10">
      <c r="A11" s="3" t="s">
        <v>45</v>
      </c>
      <c r="B11" s="3" t="s">
        <v>46</v>
      </c>
      <c r="C11" s="3" t="s">
        <v>47</v>
      </c>
      <c r="D11" s="9">
        <v>130</v>
      </c>
      <c r="E11" s="9">
        <v>10</v>
      </c>
      <c r="F11" s="3" t="s">
        <v>29</v>
      </c>
      <c r="G11" t="str">
        <f t="shared" si="0"/>
        <v>Standard price</v>
      </c>
      <c r="I11" s="11"/>
    </row>
    <row r="12" ht="15.75" spans="1:10">
      <c r="A12" s="2" t="s">
        <v>48</v>
      </c>
      <c r="B12" s="2" t="s">
        <v>8</v>
      </c>
      <c r="C12" s="2" t="s">
        <v>49</v>
      </c>
      <c r="D12" s="6">
        <v>950</v>
      </c>
      <c r="E12" s="6">
        <v>25</v>
      </c>
      <c r="F12" s="2" t="s">
        <v>10</v>
      </c>
      <c r="G12" t="str">
        <f t="shared" si="0"/>
        <v>High price</v>
      </c>
      <c r="I12" s="12"/>
    </row>
    <row r="13" ht="15.75" spans="1:10">
      <c r="A13" s="3" t="s">
        <v>50</v>
      </c>
      <c r="B13" s="3" t="s">
        <v>13</v>
      </c>
      <c r="C13" s="3" t="s">
        <v>37</v>
      </c>
      <c r="D13" s="9">
        <v>90</v>
      </c>
      <c r="E13" s="9">
        <v>40</v>
      </c>
      <c r="F13" s="3" t="s">
        <v>15</v>
      </c>
      <c r="G13" t="str">
        <f t="shared" si="0"/>
        <v>Standard price</v>
      </c>
      <c r="I13" s="11"/>
    </row>
    <row r="14" ht="15.75" spans="1:10">
      <c r="A14" s="2" t="s">
        <v>51</v>
      </c>
      <c r="B14" s="2" t="s">
        <v>18</v>
      </c>
      <c r="C14" s="2" t="s">
        <v>52</v>
      </c>
      <c r="D14" s="6">
        <v>120</v>
      </c>
      <c r="E14" s="6">
        <v>35</v>
      </c>
      <c r="F14" s="2" t="s">
        <v>20</v>
      </c>
      <c r="G14" t="str">
        <f t="shared" si="0"/>
        <v>Standard price</v>
      </c>
      <c r="I14" s="12"/>
    </row>
    <row r="15" ht="15.75" spans="1:10">
      <c r="A15" s="3" t="s">
        <v>53</v>
      </c>
      <c r="B15" s="3" t="s">
        <v>54</v>
      </c>
      <c r="C15" s="3" t="s">
        <v>55</v>
      </c>
      <c r="D15" s="9">
        <v>150</v>
      </c>
      <c r="E15" s="9">
        <v>15</v>
      </c>
      <c r="F15" s="3" t="s">
        <v>10</v>
      </c>
      <c r="G15" t="str">
        <f t="shared" si="0"/>
        <v>Standard price</v>
      </c>
      <c r="I15" s="11"/>
    </row>
    <row r="16" ht="15.75" spans="1:10">
      <c r="A16" s="2" t="s">
        <v>56</v>
      </c>
      <c r="B16" s="2" t="s">
        <v>32</v>
      </c>
      <c r="C16" s="2" t="s">
        <v>57</v>
      </c>
      <c r="D16" s="6">
        <v>250</v>
      </c>
      <c r="E16" s="6">
        <v>20</v>
      </c>
      <c r="F16" s="2" t="s">
        <v>10</v>
      </c>
      <c r="G16" t="str">
        <f t="shared" si="0"/>
        <v>Standard price</v>
      </c>
      <c r="I16" s="12"/>
    </row>
    <row r="17" ht="15.75" spans="1:9">
      <c r="A17" s="3" t="s">
        <v>58</v>
      </c>
      <c r="B17" s="3" t="s">
        <v>59</v>
      </c>
      <c r="C17" s="3" t="s">
        <v>60</v>
      </c>
      <c r="D17" s="9">
        <v>50</v>
      </c>
      <c r="E17" s="9">
        <v>35</v>
      </c>
      <c r="F17" s="3" t="s">
        <v>61</v>
      </c>
      <c r="G17" t="str">
        <f t="shared" si="0"/>
        <v>Standard price</v>
      </c>
      <c r="I17" s="11"/>
    </row>
    <row r="18" ht="15.75" spans="1:9">
      <c r="A18" s="2" t="s">
        <v>62</v>
      </c>
      <c r="B18" s="2" t="s">
        <v>54</v>
      </c>
      <c r="C18" s="2" t="s">
        <v>63</v>
      </c>
      <c r="D18" s="6">
        <v>160</v>
      </c>
      <c r="E18" s="6">
        <v>15</v>
      </c>
      <c r="F18" s="2" t="s">
        <v>10</v>
      </c>
      <c r="G18" t="str">
        <f t="shared" si="0"/>
        <v>Standard price</v>
      </c>
      <c r="I18" s="12"/>
    </row>
    <row r="19" ht="15.75" spans="1:9">
      <c r="A19" s="3" t="s">
        <v>64</v>
      </c>
      <c r="B19" s="3" t="s">
        <v>8</v>
      </c>
      <c r="C19" s="3" t="s">
        <v>65</v>
      </c>
      <c r="D19" s="9">
        <v>980</v>
      </c>
      <c r="E19" s="9">
        <v>10</v>
      </c>
      <c r="F19" s="3" t="s">
        <v>10</v>
      </c>
      <c r="G19" t="str">
        <f t="shared" si="0"/>
        <v>High price</v>
      </c>
      <c r="I19" s="11"/>
    </row>
    <row r="20" ht="15.75" spans="1:9">
      <c r="A20" s="2" t="s">
        <v>66</v>
      </c>
      <c r="B20" s="2" t="s">
        <v>67</v>
      </c>
      <c r="C20" s="2" t="s">
        <v>68</v>
      </c>
      <c r="D20" s="6">
        <v>150</v>
      </c>
      <c r="E20" s="6">
        <v>15</v>
      </c>
      <c r="F20" s="2" t="s">
        <v>15</v>
      </c>
      <c r="G20" t="str">
        <f t="shared" si="0"/>
        <v>Standard price</v>
      </c>
      <c r="I20" s="12"/>
    </row>
    <row r="21" ht="15.75" spans="1:9">
      <c r="A21" s="3" t="s">
        <v>69</v>
      </c>
      <c r="B21" s="3" t="s">
        <v>70</v>
      </c>
      <c r="C21" s="3" t="s">
        <v>71</v>
      </c>
      <c r="D21" s="9">
        <v>200</v>
      </c>
      <c r="E21" s="9">
        <v>10</v>
      </c>
      <c r="F21" s="3" t="s">
        <v>29</v>
      </c>
      <c r="G21" t="str">
        <f t="shared" si="0"/>
        <v>Standard price</v>
      </c>
      <c r="I21" s="11"/>
    </row>
    <row r="22" ht="15.75" spans="1:9">
      <c r="A22" s="2" t="s">
        <v>72</v>
      </c>
      <c r="B22" s="2" t="s">
        <v>73</v>
      </c>
      <c r="C22" s="2" t="s">
        <v>74</v>
      </c>
      <c r="D22" s="6">
        <v>700</v>
      </c>
      <c r="E22" s="6">
        <v>50</v>
      </c>
      <c r="F22" s="2" t="s">
        <v>10</v>
      </c>
      <c r="G22" t="str">
        <f t="shared" si="0"/>
        <v>High price</v>
      </c>
      <c r="I22" s="12"/>
    </row>
    <row r="23" ht="15.75" spans="1:9">
      <c r="A23" s="3" t="s">
        <v>75</v>
      </c>
      <c r="B23" s="3" t="s">
        <v>76</v>
      </c>
      <c r="C23" s="3" t="s">
        <v>77</v>
      </c>
      <c r="D23" s="9">
        <v>80</v>
      </c>
      <c r="E23" s="9">
        <v>20</v>
      </c>
      <c r="F23" s="3" t="s">
        <v>20</v>
      </c>
      <c r="G23" t="str">
        <f t="shared" si="0"/>
        <v>Standard price</v>
      </c>
      <c r="I23" s="11"/>
    </row>
    <row r="24" ht="26.25" spans="1:9">
      <c r="A24" s="2" t="s">
        <v>78</v>
      </c>
      <c r="B24" s="2" t="s">
        <v>79</v>
      </c>
      <c r="C24" s="2" t="s">
        <v>80</v>
      </c>
      <c r="D24" s="6">
        <v>150</v>
      </c>
      <c r="E24" s="6">
        <v>30</v>
      </c>
      <c r="F24" s="2" t="s">
        <v>10</v>
      </c>
      <c r="G24" t="str">
        <f t="shared" si="0"/>
        <v>Standard price</v>
      </c>
      <c r="I24" s="12"/>
    </row>
    <row r="25" ht="15.75" spans="1:9">
      <c r="A25" s="3" t="s">
        <v>58</v>
      </c>
      <c r="B25" s="3" t="s">
        <v>59</v>
      </c>
      <c r="C25" s="3" t="s">
        <v>60</v>
      </c>
      <c r="D25" s="9">
        <v>50</v>
      </c>
      <c r="E25" s="9">
        <v>35</v>
      </c>
      <c r="F25" s="3" t="s">
        <v>61</v>
      </c>
      <c r="G25" t="str">
        <f t="shared" si="0"/>
        <v>Standard price</v>
      </c>
      <c r="I25" s="11"/>
    </row>
    <row r="26" ht="15.75" spans="1:9">
      <c r="A26" s="2" t="s">
        <v>81</v>
      </c>
      <c r="B26" s="2" t="s">
        <v>23</v>
      </c>
      <c r="C26" s="2" t="s">
        <v>82</v>
      </c>
      <c r="D26" s="6">
        <v>800</v>
      </c>
      <c r="E26" s="6">
        <v>45</v>
      </c>
      <c r="F26" s="2" t="s">
        <v>10</v>
      </c>
      <c r="G26" t="str">
        <f t="shared" si="0"/>
        <v>High price</v>
      </c>
      <c r="I26" s="12"/>
    </row>
    <row r="27" ht="15.75" spans="1:9">
      <c r="A27" s="3" t="s">
        <v>83</v>
      </c>
      <c r="B27" s="3" t="s">
        <v>67</v>
      </c>
      <c r="C27" s="3" t="s">
        <v>84</v>
      </c>
      <c r="D27" s="9">
        <v>130</v>
      </c>
      <c r="E27" s="9">
        <v>25</v>
      </c>
      <c r="F27" s="3" t="s">
        <v>15</v>
      </c>
      <c r="G27" t="str">
        <f t="shared" si="0"/>
        <v>Standard price</v>
      </c>
      <c r="I27" s="11"/>
    </row>
    <row r="28" ht="15.75" spans="1:9">
      <c r="A28" s="2" t="s">
        <v>85</v>
      </c>
      <c r="B28" s="2" t="s">
        <v>40</v>
      </c>
      <c r="C28" s="2" t="s">
        <v>86</v>
      </c>
      <c r="D28" s="6">
        <v>400</v>
      </c>
      <c r="E28" s="6">
        <v>40</v>
      </c>
      <c r="F28" s="2" t="s">
        <v>20</v>
      </c>
      <c r="G28" t="str">
        <f t="shared" si="0"/>
        <v>Standard price</v>
      </c>
      <c r="I28" s="12"/>
    </row>
    <row r="29" ht="15.75" spans="1:9">
      <c r="A29" s="3" t="s">
        <v>56</v>
      </c>
      <c r="B29" s="3" t="s">
        <v>32</v>
      </c>
      <c r="C29" s="3" t="s">
        <v>57</v>
      </c>
      <c r="D29" s="9">
        <v>230</v>
      </c>
      <c r="E29" s="9">
        <v>20</v>
      </c>
      <c r="F29" s="3" t="s">
        <v>10</v>
      </c>
      <c r="G29" t="str">
        <f t="shared" si="0"/>
        <v>Standard price</v>
      </c>
      <c r="I29" s="11"/>
    </row>
    <row r="30" ht="15.75" spans="1:9">
      <c r="A30" s="2" t="s">
        <v>87</v>
      </c>
      <c r="B30" s="2" t="s">
        <v>88</v>
      </c>
      <c r="C30" s="2" t="s">
        <v>89</v>
      </c>
      <c r="D30" s="6">
        <v>60</v>
      </c>
      <c r="E30" s="6">
        <v>30</v>
      </c>
      <c r="F30" s="2" t="s">
        <v>15</v>
      </c>
      <c r="G30" t="str">
        <f t="shared" si="0"/>
        <v>Standard price</v>
      </c>
      <c r="I30" s="12"/>
    </row>
    <row r="31" ht="15.75" spans="1:9">
      <c r="A31" s="3" t="s">
        <v>90</v>
      </c>
      <c r="B31" s="3" t="s">
        <v>91</v>
      </c>
      <c r="C31" s="3" t="s">
        <v>92</v>
      </c>
      <c r="D31" s="9">
        <v>40</v>
      </c>
      <c r="E31" s="9">
        <v>10</v>
      </c>
      <c r="F31" s="3" t="s">
        <v>20</v>
      </c>
      <c r="G31" t="str">
        <f t="shared" si="0"/>
        <v>Standard price</v>
      </c>
      <c r="I31" s="11"/>
    </row>
    <row r="32" ht="26.25" spans="1:9">
      <c r="A32" s="2" t="s">
        <v>93</v>
      </c>
      <c r="B32" s="2" t="s">
        <v>79</v>
      </c>
      <c r="C32" s="2" t="s">
        <v>94</v>
      </c>
      <c r="D32" s="6">
        <v>130</v>
      </c>
      <c r="E32" s="6">
        <v>5</v>
      </c>
      <c r="F32" s="2" t="s">
        <v>10</v>
      </c>
      <c r="G32" t="str">
        <f t="shared" si="0"/>
        <v>Standard price</v>
      </c>
      <c r="I32" s="12"/>
    </row>
    <row r="33" ht="15.75" spans="1:9">
      <c r="A33" s="3" t="s">
        <v>95</v>
      </c>
      <c r="B33" s="3" t="s">
        <v>96</v>
      </c>
      <c r="C33" s="3" t="s">
        <v>97</v>
      </c>
      <c r="D33" s="9">
        <v>50</v>
      </c>
      <c r="E33" s="9">
        <v>50</v>
      </c>
      <c r="F33" s="3" t="s">
        <v>15</v>
      </c>
      <c r="G33" t="str">
        <f t="shared" si="0"/>
        <v>Standard price</v>
      </c>
      <c r="I33" s="11"/>
    </row>
    <row r="34" ht="15.75" spans="1:9">
      <c r="A34" s="2" t="s">
        <v>48</v>
      </c>
      <c r="B34" s="2" t="s">
        <v>8</v>
      </c>
      <c r="C34" s="2" t="s">
        <v>49</v>
      </c>
      <c r="D34" s="6">
        <v>950</v>
      </c>
      <c r="E34" s="6">
        <v>25</v>
      </c>
      <c r="F34" s="2" t="s">
        <v>10</v>
      </c>
      <c r="G34" t="str">
        <f t="shared" si="0"/>
        <v>High price</v>
      </c>
      <c r="I34" s="12"/>
    </row>
    <row r="35" ht="15.75" spans="1:9">
      <c r="A35" s="3" t="s">
        <v>98</v>
      </c>
      <c r="B35" s="3" t="s">
        <v>99</v>
      </c>
      <c r="C35" s="3" t="s">
        <v>100</v>
      </c>
      <c r="D35" s="9">
        <v>100</v>
      </c>
      <c r="E35" s="9">
        <v>20</v>
      </c>
      <c r="F35" s="3" t="s">
        <v>61</v>
      </c>
      <c r="G35" t="str">
        <f t="shared" si="0"/>
        <v>Standard price</v>
      </c>
      <c r="I35" s="11"/>
    </row>
    <row r="36" ht="15.75" spans="1:9">
      <c r="I36" s="12"/>
    </row>
    <row r="37" ht="15.75" spans="1:9">
      <c r="I37" s="11"/>
    </row>
    <row r="38" ht="15.75" spans="1:9">
      <c r="I38" s="12"/>
    </row>
    <row r="39" ht="15.75" spans="1:9">
      <c r="I39" s="11"/>
    </row>
    <row r="40" ht="15.75" spans="1:9">
      <c r="I40" s="12"/>
    </row>
    <row r="41" ht="15.75" spans="1:9">
      <c r="I41" s="11"/>
    </row>
    <row r="42" ht="15.75" spans="1:9">
      <c r="I42" s="12"/>
    </row>
    <row r="43" ht="15.75" spans="1:9">
      <c r="I43" s="11"/>
    </row>
    <row r="44" ht="15.75" spans="1:9">
      <c r="I44" s="12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workbookViewId="0">
      <selection activeCell="D2" sqref="D2"/>
    </sheetView>
  </sheetViews>
  <sheetFormatPr defaultColWidth="9" defaultRowHeight="15" outlineLevelCol="3"/>
  <cols>
    <col min="1" max="1" width="15.5714285714286" customWidth="1"/>
    <col min="3" max="3" width="11" customWidth="1"/>
  </cols>
  <sheetData>
    <row r="1" ht="19.5" spans="1:4">
      <c r="A1" s="1" t="s">
        <v>101</v>
      </c>
      <c r="B1" s="1" t="s">
        <v>102</v>
      </c>
      <c r="C1" s="1" t="s">
        <v>103</v>
      </c>
      <c r="D1" s="1" t="s">
        <v>104</v>
      </c>
    </row>
    <row r="2" ht="15.75" spans="1:4">
      <c r="A2" s="2" t="s">
        <v>7</v>
      </c>
      <c r="B2" t="str">
        <f>LEFT(A2,2)</f>
        <v>28</v>
      </c>
      <c r="C2" t="str">
        <f>RIGHT(A2,2)</f>
        <v>US</v>
      </c>
      <c r="D2" t="str">
        <f>MID(A2,4,3)</f>
        <v>JAN</v>
      </c>
    </row>
    <row r="3" ht="15.75" spans="1:4">
      <c r="A3" s="3" t="s">
        <v>12</v>
      </c>
      <c r="B3" t="str">
        <f t="shared" ref="B3:B35" si="0">LEFT(A3,2)</f>
        <v>15</v>
      </c>
      <c r="C3" t="str">
        <f t="shared" ref="C3:C35" si="1">RIGHT(A3,2)</f>
        <v>US</v>
      </c>
      <c r="D3" t="str">
        <f t="shared" ref="D3:D35" si="2">MID(A3,4,3)</f>
        <v>FEB</v>
      </c>
    </row>
    <row r="4" ht="15.75" spans="1:4">
      <c r="A4" s="2" t="s">
        <v>17</v>
      </c>
      <c r="B4" t="str">
        <f t="shared" si="0"/>
        <v>03</v>
      </c>
      <c r="C4" t="str">
        <f t="shared" si="1"/>
        <v>US</v>
      </c>
      <c r="D4" t="str">
        <f t="shared" si="2"/>
        <v>MAR</v>
      </c>
    </row>
    <row r="5" ht="15.75" spans="1:4">
      <c r="A5" s="3" t="s">
        <v>22</v>
      </c>
      <c r="B5" t="str">
        <f t="shared" si="0"/>
        <v>11</v>
      </c>
      <c r="C5" t="str">
        <f t="shared" si="1"/>
        <v>US</v>
      </c>
      <c r="D5" t="str">
        <f t="shared" si="2"/>
        <v>APR</v>
      </c>
    </row>
    <row r="6" ht="15.75" spans="1:4">
      <c r="A6" s="2" t="s">
        <v>26</v>
      </c>
      <c r="B6" t="str">
        <f t="shared" si="0"/>
        <v>22</v>
      </c>
      <c r="C6" t="str">
        <f t="shared" si="1"/>
        <v>US</v>
      </c>
      <c r="D6" t="str">
        <f t="shared" si="2"/>
        <v>MAY</v>
      </c>
    </row>
    <row r="7" ht="15.75" spans="1:4">
      <c r="A7" s="3" t="s">
        <v>31</v>
      </c>
      <c r="B7" t="str">
        <f t="shared" si="0"/>
        <v>07</v>
      </c>
      <c r="C7" t="str">
        <f t="shared" si="1"/>
        <v>UK</v>
      </c>
      <c r="D7" t="str">
        <f t="shared" si="2"/>
        <v>JUN</v>
      </c>
    </row>
    <row r="8" ht="15.75" spans="1:4">
      <c r="A8" s="2" t="s">
        <v>35</v>
      </c>
      <c r="B8" t="str">
        <f t="shared" si="0"/>
        <v>19</v>
      </c>
      <c r="C8" t="str">
        <f t="shared" si="1"/>
        <v>UK</v>
      </c>
      <c r="D8" t="str">
        <f t="shared" si="2"/>
        <v>JUL</v>
      </c>
    </row>
    <row r="9" ht="15.75" spans="1:4">
      <c r="A9" s="3" t="s">
        <v>39</v>
      </c>
      <c r="B9" t="str">
        <f t="shared" si="0"/>
        <v>23</v>
      </c>
      <c r="C9" t="str">
        <f t="shared" si="1"/>
        <v>UK</v>
      </c>
      <c r="D9" t="str">
        <f t="shared" si="2"/>
        <v>AUG</v>
      </c>
    </row>
    <row r="10" ht="15.75" spans="1:4">
      <c r="A10" s="2" t="s">
        <v>42</v>
      </c>
      <c r="B10" t="str">
        <f t="shared" si="0"/>
        <v>05</v>
      </c>
      <c r="C10" t="str">
        <f t="shared" si="1"/>
        <v>UK</v>
      </c>
      <c r="D10" t="str">
        <f t="shared" si="2"/>
        <v>SEP</v>
      </c>
    </row>
    <row r="11" ht="15.75" spans="1:4">
      <c r="A11" s="3" t="s">
        <v>45</v>
      </c>
      <c r="B11" t="str">
        <f t="shared" si="0"/>
        <v>14</v>
      </c>
      <c r="C11" t="str">
        <f t="shared" si="1"/>
        <v>UK</v>
      </c>
      <c r="D11" t="str">
        <f t="shared" si="2"/>
        <v>OCT</v>
      </c>
    </row>
    <row r="12" ht="15.75" spans="1:4">
      <c r="A12" s="2" t="s">
        <v>48</v>
      </c>
      <c r="B12" t="str">
        <f t="shared" si="0"/>
        <v>17</v>
      </c>
      <c r="C12" t="str">
        <f t="shared" si="1"/>
        <v>IN</v>
      </c>
      <c r="D12" t="str">
        <f t="shared" si="2"/>
        <v>JUN</v>
      </c>
    </row>
    <row r="13" ht="15.75" spans="1:4">
      <c r="A13" s="3" t="s">
        <v>50</v>
      </c>
      <c r="B13" t="str">
        <f t="shared" si="0"/>
        <v>25</v>
      </c>
      <c r="C13" t="str">
        <f t="shared" si="1"/>
        <v>AU</v>
      </c>
      <c r="D13" t="str">
        <f t="shared" si="2"/>
        <v>NOV</v>
      </c>
    </row>
    <row r="14" ht="15.75" spans="1:4">
      <c r="A14" s="2" t="s">
        <v>51</v>
      </c>
      <c r="B14" t="str">
        <f t="shared" si="0"/>
        <v>08</v>
      </c>
      <c r="C14" t="str">
        <f t="shared" si="1"/>
        <v>DE</v>
      </c>
      <c r="D14" t="str">
        <f t="shared" si="2"/>
        <v>DEC</v>
      </c>
    </row>
    <row r="15" ht="15.75" spans="1:4">
      <c r="A15" s="3" t="s">
        <v>53</v>
      </c>
      <c r="B15" t="str">
        <f t="shared" si="0"/>
        <v>18</v>
      </c>
      <c r="C15" t="str">
        <f t="shared" si="1"/>
        <v>CA</v>
      </c>
      <c r="D15" t="str">
        <f t="shared" si="2"/>
        <v>FEB</v>
      </c>
    </row>
    <row r="16" ht="15.75" spans="1:4">
      <c r="A16" s="2" t="s">
        <v>56</v>
      </c>
      <c r="B16" t="str">
        <f t="shared" si="0"/>
        <v>16</v>
      </c>
      <c r="C16" t="str">
        <f t="shared" si="1"/>
        <v>ES</v>
      </c>
      <c r="D16" t="str">
        <f t="shared" si="2"/>
        <v>APR</v>
      </c>
    </row>
    <row r="17" ht="15.75" spans="1:4">
      <c r="A17" s="3" t="s">
        <v>58</v>
      </c>
      <c r="B17" t="str">
        <f t="shared" si="0"/>
        <v>21</v>
      </c>
      <c r="C17" t="str">
        <f t="shared" si="1"/>
        <v>CA</v>
      </c>
      <c r="D17" t="str">
        <f t="shared" si="2"/>
        <v>AUG</v>
      </c>
    </row>
    <row r="18" ht="15.75" spans="1:4">
      <c r="A18" s="2" t="s">
        <v>62</v>
      </c>
      <c r="B18" t="str">
        <f t="shared" si="0"/>
        <v>20</v>
      </c>
      <c r="C18" t="str">
        <f t="shared" si="1"/>
        <v>CN</v>
      </c>
      <c r="D18" t="str">
        <f t="shared" si="2"/>
        <v>AUG</v>
      </c>
    </row>
    <row r="19" ht="15.75" spans="1:4">
      <c r="A19" s="3" t="s">
        <v>64</v>
      </c>
      <c r="B19" t="str">
        <f t="shared" si="0"/>
        <v>27</v>
      </c>
      <c r="C19" t="str">
        <f t="shared" si="1"/>
        <v>IT</v>
      </c>
      <c r="D19" t="str">
        <f t="shared" si="2"/>
        <v>JAN</v>
      </c>
    </row>
    <row r="20" ht="15.75" spans="1:4">
      <c r="A20" s="2" t="s">
        <v>66</v>
      </c>
      <c r="B20" t="str">
        <f t="shared" si="0"/>
        <v>01</v>
      </c>
      <c r="C20" t="str">
        <f t="shared" si="1"/>
        <v>UK</v>
      </c>
      <c r="D20" t="str">
        <f t="shared" si="2"/>
        <v>MAR</v>
      </c>
    </row>
    <row r="21" ht="15.75" spans="1:4">
      <c r="A21" s="3" t="s">
        <v>69</v>
      </c>
      <c r="B21" t="str">
        <f t="shared" si="0"/>
        <v>14</v>
      </c>
      <c r="C21" t="str">
        <f t="shared" si="1"/>
        <v>US</v>
      </c>
      <c r="D21" t="str">
        <f t="shared" si="2"/>
        <v>AUG</v>
      </c>
    </row>
    <row r="22" ht="15.75" spans="1:4">
      <c r="A22" s="2" t="s">
        <v>72</v>
      </c>
      <c r="B22" t="str">
        <f t="shared" si="0"/>
        <v>14</v>
      </c>
      <c r="C22" t="str">
        <f t="shared" si="1"/>
        <v>RU</v>
      </c>
      <c r="D22" t="str">
        <f t="shared" si="2"/>
        <v>MAY</v>
      </c>
    </row>
    <row r="23" ht="15.75" spans="1:4">
      <c r="A23" s="3" t="s">
        <v>75</v>
      </c>
      <c r="B23" t="str">
        <f t="shared" si="0"/>
        <v>09</v>
      </c>
      <c r="C23" t="str">
        <f t="shared" si="1"/>
        <v>CA</v>
      </c>
      <c r="D23" t="str">
        <f t="shared" si="2"/>
        <v>JAN</v>
      </c>
    </row>
    <row r="24" ht="15.75" spans="1:4">
      <c r="A24" s="2" t="s">
        <v>78</v>
      </c>
      <c r="B24" t="str">
        <f t="shared" si="0"/>
        <v>19</v>
      </c>
      <c r="C24" t="str">
        <f t="shared" si="1"/>
        <v>BR</v>
      </c>
      <c r="D24" t="str">
        <f t="shared" si="2"/>
        <v>JUL</v>
      </c>
    </row>
    <row r="25" ht="15.75" spans="1:4">
      <c r="A25" s="3" t="s">
        <v>58</v>
      </c>
      <c r="B25" t="str">
        <f t="shared" si="0"/>
        <v>21</v>
      </c>
      <c r="C25" t="str">
        <f t="shared" si="1"/>
        <v>CA</v>
      </c>
      <c r="D25" t="str">
        <f t="shared" si="2"/>
        <v>AUG</v>
      </c>
    </row>
    <row r="26" ht="15.75" spans="1:4">
      <c r="A26" s="2" t="s">
        <v>81</v>
      </c>
      <c r="B26" t="str">
        <f t="shared" si="0"/>
        <v>29</v>
      </c>
      <c r="C26" t="str">
        <f t="shared" si="1"/>
        <v>CA</v>
      </c>
      <c r="D26" t="str">
        <f t="shared" si="2"/>
        <v>SEP</v>
      </c>
    </row>
    <row r="27" ht="15.75" spans="1:4">
      <c r="A27" s="3" t="s">
        <v>83</v>
      </c>
      <c r="B27" t="str">
        <f t="shared" si="0"/>
        <v>03</v>
      </c>
      <c r="C27" t="str">
        <f t="shared" si="1"/>
        <v>CA</v>
      </c>
      <c r="D27" t="str">
        <f t="shared" si="2"/>
        <v>JUN</v>
      </c>
    </row>
    <row r="28" ht="15.75" spans="1:4">
      <c r="A28" s="2" t="s">
        <v>85</v>
      </c>
      <c r="B28" t="str">
        <f t="shared" si="0"/>
        <v>11</v>
      </c>
      <c r="C28" t="str">
        <f t="shared" si="1"/>
        <v>CA</v>
      </c>
      <c r="D28" t="str">
        <f t="shared" si="2"/>
        <v>JUL</v>
      </c>
    </row>
    <row r="29" ht="15.75" spans="1:4">
      <c r="A29" s="3" t="s">
        <v>56</v>
      </c>
      <c r="B29" t="str">
        <f t="shared" si="0"/>
        <v>16</v>
      </c>
      <c r="C29" t="str">
        <f t="shared" si="1"/>
        <v>ES</v>
      </c>
      <c r="D29" t="str">
        <f t="shared" si="2"/>
        <v>APR</v>
      </c>
    </row>
    <row r="30" ht="15.75" spans="1:4">
      <c r="A30" s="2" t="s">
        <v>87</v>
      </c>
      <c r="B30" t="str">
        <f t="shared" si="0"/>
        <v>07</v>
      </c>
      <c r="C30" t="str">
        <f t="shared" si="1"/>
        <v>CA</v>
      </c>
      <c r="D30" t="str">
        <f t="shared" si="2"/>
        <v>MAR</v>
      </c>
    </row>
    <row r="31" ht="15.75" spans="1:4">
      <c r="A31" s="3" t="s">
        <v>90</v>
      </c>
      <c r="B31" t="str">
        <f t="shared" si="0"/>
        <v>13</v>
      </c>
      <c r="C31" t="str">
        <f t="shared" si="1"/>
        <v>CA</v>
      </c>
      <c r="D31" t="str">
        <f t="shared" si="2"/>
        <v>APR</v>
      </c>
    </row>
    <row r="32" ht="15.75" spans="1:4">
      <c r="A32" s="2" t="s">
        <v>93</v>
      </c>
      <c r="B32" t="str">
        <f t="shared" si="0"/>
        <v>24</v>
      </c>
      <c r="C32" t="str">
        <f t="shared" si="1"/>
        <v>CA</v>
      </c>
      <c r="D32" t="str">
        <f t="shared" si="2"/>
        <v>MAY</v>
      </c>
    </row>
    <row r="33" ht="15.75" spans="1:4">
      <c r="A33" s="3" t="s">
        <v>95</v>
      </c>
      <c r="B33" t="str">
        <f t="shared" si="0"/>
        <v>02</v>
      </c>
      <c r="C33" t="str">
        <f t="shared" si="1"/>
        <v>CA</v>
      </c>
      <c r="D33" t="str">
        <f t="shared" si="2"/>
        <v>DEC</v>
      </c>
    </row>
    <row r="34" ht="15.75" spans="1:4">
      <c r="A34" s="2" t="s">
        <v>48</v>
      </c>
      <c r="B34" t="str">
        <f t="shared" si="0"/>
        <v>17</v>
      </c>
      <c r="C34" t="str">
        <f t="shared" si="1"/>
        <v>IN</v>
      </c>
      <c r="D34" t="str">
        <f t="shared" si="2"/>
        <v>JUN</v>
      </c>
    </row>
    <row r="35" ht="15.75" spans="1:4">
      <c r="A35" s="3" t="s">
        <v>98</v>
      </c>
      <c r="B35" t="str">
        <f t="shared" si="0"/>
        <v>09</v>
      </c>
      <c r="C35" t="str">
        <f t="shared" si="1"/>
        <v>FR</v>
      </c>
      <c r="D35" t="str">
        <f t="shared" si="2"/>
        <v>JUL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2026-08-28T07:41:00Z</dcterms:created>
  <dcterms:modified xsi:type="dcterms:W3CDTF">2026-09-05T06:26:55Z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DB6DDE4A3B454D819D66BBD1916EA96E_13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